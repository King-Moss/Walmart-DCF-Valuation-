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NEW USER\Desktop\Practical Finance Projects\DCF_Valuation\"/>
    </mc:Choice>
  </mc:AlternateContent>
  <xr:revisionPtr revIDLastSave="0" documentId="13_ncr:1_{099AD0A7-ABC4-49F1-8FB6-0C5EAF206F13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DCF model" sheetId="5" r:id="rId1"/>
    <sheet name="WACC" sheetId="6" r:id="rId2"/>
    <sheet name="CFS" sheetId="3" r:id="rId3"/>
    <sheet name="IS" sheetId="2" r:id="rId4"/>
  </sheets>
  <definedNames>
    <definedName name="_xlnm.Print_Area" localSheetId="0">'DCF model'!$A$1:$R$78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5" l="1"/>
  <c r="D30" i="5"/>
  <c r="C15" i="5"/>
  <c r="R61" i="5"/>
  <c r="C16" i="5"/>
  <c r="L15" i="5"/>
  <c r="C14" i="6"/>
  <c r="C13" i="6"/>
  <c r="C12" i="6"/>
  <c r="C10" i="6"/>
  <c r="D28" i="6"/>
  <c r="I20" i="5" l="1"/>
  <c r="M43" i="5"/>
  <c r="L43" i="5"/>
  <c r="K43" i="5"/>
  <c r="J43" i="5"/>
  <c r="I43" i="5"/>
  <c r="H43" i="5"/>
  <c r="G43" i="5"/>
  <c r="F43" i="5"/>
  <c r="E43" i="5"/>
  <c r="D43" i="5"/>
  <c r="M22" i="3"/>
  <c r="L22" i="3"/>
  <c r="K22" i="3"/>
  <c r="J22" i="3"/>
  <c r="I22" i="3"/>
  <c r="H22" i="3"/>
  <c r="G22" i="3"/>
  <c r="F22" i="3"/>
  <c r="E22" i="3"/>
  <c r="D22" i="3"/>
  <c r="C22" i="3"/>
  <c r="B22" i="3"/>
  <c r="M40" i="5"/>
  <c r="L40" i="5"/>
  <c r="K40" i="5"/>
  <c r="J40" i="5"/>
  <c r="I40" i="5"/>
  <c r="H40" i="5"/>
  <c r="G40" i="5"/>
  <c r="F40" i="5"/>
  <c r="E40" i="5"/>
  <c r="D40" i="5"/>
  <c r="M37" i="5"/>
  <c r="L37" i="5"/>
  <c r="K37" i="5"/>
  <c r="J37" i="5"/>
  <c r="I37" i="5"/>
  <c r="H37" i="5"/>
  <c r="G37" i="5"/>
  <c r="F37" i="5"/>
  <c r="E37" i="5"/>
  <c r="E38" i="5" s="1"/>
  <c r="D37" i="5"/>
  <c r="E30" i="5"/>
  <c r="M29" i="5"/>
  <c r="L29" i="5"/>
  <c r="K29" i="5"/>
  <c r="J29" i="5"/>
  <c r="I29" i="5"/>
  <c r="H29" i="5"/>
  <c r="G29" i="5"/>
  <c r="F29" i="5"/>
  <c r="E29" i="5"/>
  <c r="D29" i="5"/>
  <c r="M26" i="5"/>
  <c r="L26" i="5"/>
  <c r="K26" i="5"/>
  <c r="J26" i="5"/>
  <c r="I26" i="5"/>
  <c r="H26" i="5"/>
  <c r="G26" i="5"/>
  <c r="F26" i="5"/>
  <c r="E26" i="5"/>
  <c r="E27" i="5"/>
  <c r="D26" i="5"/>
  <c r="D32" i="5" s="1"/>
  <c r="D33" i="5" s="1"/>
  <c r="M20" i="5"/>
  <c r="L20" i="5"/>
  <c r="K20" i="5"/>
  <c r="J20" i="5"/>
  <c r="H20" i="5"/>
  <c r="G20" i="5"/>
  <c r="F20" i="5"/>
  <c r="E20" i="5"/>
  <c r="D20" i="5"/>
  <c r="D38" i="5" s="1"/>
  <c r="D44" i="5" l="1"/>
  <c r="D27" i="5"/>
  <c r="M19" i="2"/>
  <c r="L19" i="2"/>
  <c r="M61" i="5" l="1"/>
  <c r="O55" i="5"/>
  <c r="P55" i="5" s="1"/>
  <c r="Q55" i="5" s="1"/>
  <c r="R55" i="5" s="1"/>
  <c r="C72" i="5" l="1"/>
  <c r="C73" i="5" s="1"/>
  <c r="C74" i="5" s="1"/>
  <c r="C75" i="5" s="1"/>
  <c r="C76" i="5" s="1"/>
  <c r="C77" i="5" s="1"/>
  <c r="C78" i="5" s="1"/>
  <c r="F70" i="5"/>
  <c r="G70" i="5" s="1"/>
  <c r="H70" i="5" s="1"/>
  <c r="I70" i="5" s="1"/>
  <c r="J70" i="5" s="1"/>
  <c r="K70" i="5" s="1"/>
  <c r="L70" i="5" s="1"/>
  <c r="O54" i="5"/>
  <c r="P54" i="5" s="1"/>
  <c r="Q54" i="5" s="1"/>
  <c r="R54" i="5" s="1"/>
  <c r="C16" i="6"/>
  <c r="I32" i="5"/>
  <c r="E1" i="5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G21" i="5" l="1"/>
  <c r="J41" i="5"/>
  <c r="K44" i="5"/>
  <c r="E44" i="5"/>
  <c r="L30" i="5"/>
  <c r="J44" i="5"/>
  <c r="K41" i="5"/>
  <c r="L44" i="5"/>
  <c r="F30" i="5"/>
  <c r="H44" i="5"/>
  <c r="G32" i="5"/>
  <c r="G33" i="5" s="1"/>
  <c r="K30" i="5"/>
  <c r="L38" i="5"/>
  <c r="H32" i="5"/>
  <c r="H33" i="5" s="1"/>
  <c r="J30" i="5"/>
  <c r="F21" i="5"/>
  <c r="I33" i="5"/>
  <c r="F32" i="5"/>
  <c r="F33" i="5" s="1"/>
  <c r="L21" i="5"/>
  <c r="L32" i="5"/>
  <c r="G38" i="5"/>
  <c r="F41" i="5"/>
  <c r="L33" i="5"/>
  <c r="G44" i="5"/>
  <c r="J21" i="5"/>
  <c r="L41" i="5"/>
  <c r="G41" i="5"/>
  <c r="G30" i="5"/>
  <c r="D41" i="5"/>
  <c r="E41" i="5"/>
  <c r="J32" i="5"/>
  <c r="J33" i="5" s="1"/>
  <c r="I30" i="5"/>
  <c r="I44" i="5"/>
  <c r="E21" i="5"/>
  <c r="I21" i="5"/>
  <c r="K27" i="5"/>
  <c r="H30" i="5"/>
  <c r="G27" i="5"/>
  <c r="E32" i="5"/>
  <c r="E33" i="5" s="1"/>
  <c r="F38" i="5"/>
  <c r="F44" i="5"/>
  <c r="L27" i="5"/>
  <c r="F27" i="5"/>
  <c r="H41" i="5"/>
  <c r="H27" i="5"/>
  <c r="I27" i="5"/>
  <c r="H21" i="5"/>
  <c r="J27" i="5"/>
  <c r="K32" i="5"/>
  <c r="K33" i="5" s="1"/>
  <c r="I41" i="5"/>
  <c r="K21" i="5"/>
  <c r="I38" i="5"/>
  <c r="K38" i="5"/>
  <c r="J38" i="5"/>
  <c r="H38" i="5"/>
  <c r="N30" i="5" l="1"/>
  <c r="C22" i="6" s="1"/>
  <c r="C24" i="6" s="1"/>
  <c r="M21" i="5"/>
  <c r="M30" i="5"/>
  <c r="M27" i="5"/>
  <c r="N27" i="5" s="1"/>
  <c r="I15" i="5" l="1"/>
  <c r="O27" i="5"/>
  <c r="P27" i="5" s="1"/>
  <c r="Q27" i="5" s="1"/>
  <c r="M44" i="5"/>
  <c r="M38" i="5"/>
  <c r="N38" i="5" s="1"/>
  <c r="O38" i="5" s="1"/>
  <c r="P38" i="5" s="1"/>
  <c r="Q38" i="5" s="1"/>
  <c r="M41" i="5"/>
  <c r="O30" i="5"/>
  <c r="P30" i="5" s="1"/>
  <c r="N22" i="5" l="1"/>
  <c r="N20" i="5"/>
  <c r="N37" i="5" s="1"/>
  <c r="R27" i="5"/>
  <c r="N24" i="5"/>
  <c r="N41" i="5"/>
  <c r="M32" i="5"/>
  <c r="M33" i="5" s="1"/>
  <c r="Q30" i="5"/>
  <c r="N44" i="5"/>
  <c r="O44" i="5" s="1"/>
  <c r="R38" i="5"/>
  <c r="N40" i="5" l="1"/>
  <c r="N50" i="5" s="1"/>
  <c r="N21" i="5"/>
  <c r="O23" i="5" s="1"/>
  <c r="O20" i="5" s="1"/>
  <c r="P44" i="5"/>
  <c r="Q44" i="5" s="1"/>
  <c r="N26" i="5"/>
  <c r="N29" i="5" s="1"/>
  <c r="N49" i="5"/>
  <c r="N43" i="5"/>
  <c r="N51" i="5" s="1"/>
  <c r="O41" i="5"/>
  <c r="P41" i="5" s="1"/>
  <c r="R30" i="5"/>
  <c r="O24" i="5" l="1"/>
  <c r="O22" i="5"/>
  <c r="Q41" i="5"/>
  <c r="R44" i="5"/>
  <c r="O40" i="5"/>
  <c r="O50" i="5" s="1"/>
  <c r="O26" i="5"/>
  <c r="O43" i="5"/>
  <c r="O51" i="5" s="1"/>
  <c r="O37" i="5"/>
  <c r="O49" i="5" s="1"/>
  <c r="O21" i="5" l="1"/>
  <c r="P23" i="5" s="1"/>
  <c r="P20" i="5" s="1"/>
  <c r="P40" i="5" s="1"/>
  <c r="P50" i="5" s="1"/>
  <c r="N32" i="5"/>
  <c r="R41" i="5"/>
  <c r="O29" i="5"/>
  <c r="O32" i="5" s="1"/>
  <c r="P43" i="5" l="1"/>
  <c r="P51" i="5" s="1"/>
  <c r="N48" i="5"/>
  <c r="N52" i="5" s="1"/>
  <c r="N56" i="5" s="1"/>
  <c r="P37" i="5"/>
  <c r="P49" i="5" s="1"/>
  <c r="P22" i="5"/>
  <c r="P26" i="5"/>
  <c r="P29" i="5" s="1"/>
  <c r="P32" i="5" s="1"/>
  <c r="P24" i="5"/>
  <c r="N33" i="5"/>
  <c r="P21" i="5"/>
  <c r="Q23" i="5" s="1"/>
  <c r="Q24" i="5" s="1"/>
  <c r="O33" i="5"/>
  <c r="O48" i="5"/>
  <c r="O52" i="5" s="1"/>
  <c r="O56" i="5" s="1"/>
  <c r="Q22" i="5" l="1"/>
  <c r="Q21" i="5" s="1"/>
  <c r="R23" i="5" s="1"/>
  <c r="R22" i="5" s="1"/>
  <c r="Q20" i="5"/>
  <c r="P33" i="5"/>
  <c r="P48" i="5"/>
  <c r="P52" i="5" s="1"/>
  <c r="P56" i="5" s="1"/>
  <c r="R24" i="5" l="1"/>
  <c r="R21" i="5" s="1"/>
  <c r="R20" i="5"/>
  <c r="R37" i="5" s="1"/>
  <c r="R49" i="5" s="1"/>
  <c r="Q37" i="5"/>
  <c r="Q49" i="5" s="1"/>
  <c r="Q40" i="5"/>
  <c r="Q50" i="5" s="1"/>
  <c r="Q43" i="5"/>
  <c r="Q51" i="5" s="1"/>
  <c r="Q26" i="5"/>
  <c r="R26" i="5" l="1"/>
  <c r="R29" i="5" s="1"/>
  <c r="R32" i="5" s="1"/>
  <c r="R33" i="5" s="1"/>
  <c r="R40" i="5"/>
  <c r="R50" i="5" s="1"/>
  <c r="R43" i="5"/>
  <c r="R51" i="5" s="1"/>
  <c r="Q29" i="5"/>
  <c r="Q32" i="5" s="1"/>
  <c r="R48" i="5" l="1"/>
  <c r="R52" i="5" s="1"/>
  <c r="Q33" i="5"/>
  <c r="Q48" i="5"/>
  <c r="Q52" i="5" s="1"/>
  <c r="Q56" i="5" s="1"/>
  <c r="R56" i="5" l="1"/>
  <c r="R57" i="5"/>
  <c r="R58" i="5" s="1"/>
  <c r="R59" i="5" l="1"/>
  <c r="R62" i="5" s="1"/>
  <c r="R64" i="5" s="1"/>
  <c r="C70" i="5" l="1"/>
  <c r="C8" i="5"/>
  <c r="C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 USER</author>
  </authors>
  <commentList>
    <comment ref="E14" authorId="0" shapeId="0" xr:uid="{EAA48C5F-6DF7-42F8-964B-18CD4A1AB8FE}">
      <text>
        <r>
          <rPr>
            <sz val="9"/>
            <color indexed="81"/>
            <rFont val="Tahoma"/>
            <family val="2"/>
          </rPr>
          <t xml:space="preserve">Moses Udofia: 
as a % of base case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 USER</author>
  </authors>
  <commentList>
    <comment ref="B5" authorId="0" shapeId="0" xr:uid="{7C5D5071-7DCE-4B58-8E17-27BE001731B9}">
      <text>
        <r>
          <rPr>
            <b/>
            <sz val="9"/>
            <color indexed="81"/>
            <rFont val="Tahoma"/>
            <family val="2"/>
          </rPr>
          <t>Moses Udofia:</t>
        </r>
        <r>
          <rPr>
            <sz val="9"/>
            <color indexed="81"/>
            <rFont val="Tahoma"/>
            <family val="2"/>
          </rPr>
          <t xml:space="preserve">
Formular for WACC
Re = Return on equity
E = Equity
V = Equity + Debt
t = Tax rate
D = Debt</t>
        </r>
      </text>
    </comment>
    <comment ref="B6" authorId="0" shapeId="0" xr:uid="{3C941106-081B-471D-85FF-6E432020C8E8}">
      <text>
        <r>
          <rPr>
            <b/>
            <sz val="9"/>
            <color indexed="81"/>
            <rFont val="Tahoma"/>
            <family val="2"/>
          </rPr>
          <t>Moses Udofia:
Using CAPM to find Re
Rf = Risk free rate
Be = Beta 
MRP = Market risk premium</t>
        </r>
      </text>
    </comment>
  </commentList>
</comments>
</file>

<file path=xl/sharedStrings.xml><?xml version="1.0" encoding="utf-8"?>
<sst xmlns="http://schemas.openxmlformats.org/spreadsheetml/2006/main" count="234" uniqueCount="186">
  <si>
    <t>Walmart Inc.</t>
  </si>
  <si>
    <t xml:space="preserve">WMT   931142103   2936921   NYSE    Common stock    </t>
  </si>
  <si>
    <t>Source: FactSet Fundamentals</t>
  </si>
  <si>
    <t>JAN '15</t>
  </si>
  <si>
    <t>JAN '16</t>
  </si>
  <si>
    <t>JAN '17</t>
  </si>
  <si>
    <t>JAN '18</t>
  </si>
  <si>
    <t>JAN '19</t>
  </si>
  <si>
    <t>JAN '20</t>
  </si>
  <si>
    <t>JAN '21</t>
  </si>
  <si>
    <t>JAN '22</t>
  </si>
  <si>
    <t>JAN '23</t>
  </si>
  <si>
    <t>JAN '24</t>
  </si>
  <si>
    <t>Sales</t>
  </si>
  <si>
    <t>Cost of Goods Sold (COGS) incl. D&amp;A</t>
  </si>
  <si>
    <t>COGS excluding D&amp;A</t>
  </si>
  <si>
    <t>Depreciation &amp; Amortization Expense</t>
  </si>
  <si>
    <t>Depreciation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</si>
  <si>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</si>
  <si>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</si>
  <si>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</si>
  <si>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</si>
  <si>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</si>
  <si>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</si>
  <si>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</si>
  <si>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</si>
  <si>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</si>
  <si>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</si>
  <si>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</si>
  <si>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</si>
  <si>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Other Intangibles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</si>
  <si>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</si>
  <si>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</si>
  <si>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</si>
  <si>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</si>
  <si>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</si>
  <si>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</si>
  <si>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</si>
  <si>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</si>
  <si>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</si>
  <si>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</si>
  <si>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</si>
  <si>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</si>
  <si>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</si>
  <si>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</si>
  <si>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</si>
  <si>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</si>
  <si>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</si>
  <si>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</si>
  <si>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</si>
  <si>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</si>
  <si>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</si>
  <si>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</si>
  <si>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</si>
  <si>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</si>
  <si>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</si>
  <si>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</si>
  <si>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</si>
  <si>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</si>
  <si>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</si>
  <si>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</si>
  <si>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</si>
  <si>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billions of U.S. Dollar except per share and labeled items.</t>
  </si>
  <si>
    <t>Walmart Inc. (WMT)</t>
  </si>
  <si>
    <t>$97.67</t>
  </si>
  <si>
    <t>Operating Activities</t>
  </si>
  <si>
    <t>Net Income / Starting Line</t>
  </si>
  <si>
    <t>Depreciation, Depletion &amp; Amortization</t>
  </si>
  <si>
    <t>Depreciation and Depletion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</si>
  <si>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</si>
  <si>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</si>
  <si>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</si>
  <si>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</si>
  <si>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</si>
  <si>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</si>
  <si>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</si>
  <si>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</si>
  <si>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Income Taxes Payable</t>
  </si>
  <si>
    <t>Other Accruals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</si>
  <si>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</si>
  <si>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</si>
  <si>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</si>
  <si>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</si>
  <si>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</si>
  <si>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</si>
  <si>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</si>
  <si>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</si>
  <si>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</si>
  <si>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</si>
  <si>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</si>
  <si>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</si>
  <si>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</si>
  <si>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</si>
  <si>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</si>
  <si>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</si>
  <si>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</si>
  <si>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</si>
  <si>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</si>
  <si>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</si>
  <si>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</si>
  <si>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</si>
  <si>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</si>
  <si>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</si>
  <si>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</si>
  <si>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</si>
  <si>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</si>
  <si>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</si>
  <si>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</si>
  <si>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All figures in billions of U.S. Dollar except per share items.</t>
  </si>
  <si>
    <t>WALMART DCF model</t>
  </si>
  <si>
    <t>Overview</t>
  </si>
  <si>
    <t>X</t>
  </si>
  <si>
    <t>Company ticker</t>
  </si>
  <si>
    <t>WMT</t>
  </si>
  <si>
    <t>Date</t>
  </si>
  <si>
    <t>Stock price</t>
  </si>
  <si>
    <t>Stock price forecast</t>
  </si>
  <si>
    <t xml:space="preserve">Delta </t>
  </si>
  <si>
    <t>Assumptions</t>
  </si>
  <si>
    <t>Income statement</t>
  </si>
  <si>
    <t>Cash flow statement</t>
  </si>
  <si>
    <t>Discounted Cash Flow</t>
  </si>
  <si>
    <t>Revenue</t>
  </si>
  <si>
    <t>Taxes</t>
  </si>
  <si>
    <t>% Tax rate</t>
  </si>
  <si>
    <t>EBIAT (or NOPAT)</t>
  </si>
  <si>
    <t>% sales</t>
  </si>
  <si>
    <t>% growth</t>
  </si>
  <si>
    <t>Plus: D&amp;A</t>
  </si>
  <si>
    <t>Less: Capex</t>
  </si>
  <si>
    <t>Less: Change in WC</t>
  </si>
  <si>
    <t>EBIAT</t>
  </si>
  <si>
    <t>FCF</t>
  </si>
  <si>
    <t>Discount period</t>
  </si>
  <si>
    <t>Discounted TV</t>
  </si>
  <si>
    <t>Terminal value (TV)</t>
  </si>
  <si>
    <t>Enterprise value</t>
  </si>
  <si>
    <t>Discounted FCF</t>
  </si>
  <si>
    <t>Plus: Cash</t>
  </si>
  <si>
    <t>Less: Debt</t>
  </si>
  <si>
    <t>Equity value</t>
  </si>
  <si>
    <t>Divided: Shares outstanding</t>
  </si>
  <si>
    <t>Pessimistic case</t>
  </si>
  <si>
    <t>Base case</t>
  </si>
  <si>
    <t>Optimistic case</t>
  </si>
  <si>
    <t>Revenue g %</t>
  </si>
  <si>
    <t>WACC</t>
  </si>
  <si>
    <t>TGR</t>
  </si>
  <si>
    <t>Scenario</t>
  </si>
  <si>
    <t>Case selected</t>
  </si>
  <si>
    <t>1. Pessimistic case</t>
  </si>
  <si>
    <t>2. Base case</t>
  </si>
  <si>
    <t>3. Optimistic case</t>
  </si>
  <si>
    <t>WACC calculation</t>
  </si>
  <si>
    <t>Formula used</t>
  </si>
  <si>
    <t>WACC = Re*E/V + Rd*(1-t)*D/V</t>
  </si>
  <si>
    <t>Re = Rf + Be*(MRP)</t>
  </si>
  <si>
    <t>Value (E + D)</t>
  </si>
  <si>
    <t>E</t>
  </si>
  <si>
    <t>D</t>
  </si>
  <si>
    <t>E/V</t>
  </si>
  <si>
    <t>D/V</t>
  </si>
  <si>
    <t>Re</t>
  </si>
  <si>
    <t>Rf</t>
  </si>
  <si>
    <t>Bequity</t>
  </si>
  <si>
    <t>MRP</t>
  </si>
  <si>
    <t>Rd</t>
  </si>
  <si>
    <t>1-t</t>
  </si>
  <si>
    <t>all values in B$</t>
  </si>
  <si>
    <t>Items</t>
  </si>
  <si>
    <t>Value</t>
  </si>
  <si>
    <t>Source</t>
  </si>
  <si>
    <t>Damodoran</t>
  </si>
  <si>
    <t>Sensitivity analysis</t>
  </si>
  <si>
    <t>WACC &gt;&gt;</t>
  </si>
  <si>
    <t>TGR &gt;&gt;</t>
  </si>
  <si>
    <t>Discount using mid year convention</t>
  </si>
  <si>
    <t>JAN '25</t>
  </si>
  <si>
    <t>JAN '26</t>
  </si>
  <si>
    <t>Computed</t>
  </si>
  <si>
    <t>Market Capitalization</t>
  </si>
  <si>
    <t>Share price</t>
  </si>
  <si>
    <t>Shares outstanding</t>
  </si>
  <si>
    <t>Walmart report</t>
  </si>
  <si>
    <t>Stock analysis</t>
  </si>
  <si>
    <t>CNBC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</si>
</sst>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General&quot;A&quot;"/>
    <numFmt numFmtId="166" formatCode="General&quot;F&quot;"/>
    <numFmt numFmtId="167" formatCode="0.0%"/>
  </numFmts>
  <fonts count="1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8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rgb="FFFF40FF"/>
      <name val="Arial"/>
      <family val="2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E2741"/>
        <bgColor indexed="64"/>
      </patternFill>
    </fill>
    <fill>
      <patternFill patternType="solid">
        <fgColor rgb="FF0E9ED5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3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4" fontId="0" fillId="3" borderId="0" xfId="0" applyNumberFormat="1" applyFill="1" applyAlignment="1">
      <alignment horizontal="right"/>
    </xf>
    <xf numFmtId="0" fontId="4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indent="3"/>
    </xf>
    <xf numFmtId="4" fontId="0" fillId="0" borderId="0" xfId="0" applyNumberFormat="1"/>
    <xf numFmtId="4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 indent="6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5" fillId="0" borderId="3" xfId="0" applyFont="1" applyBorder="1"/>
    <xf numFmtId="0" fontId="0" fillId="0" borderId="0" xfId="0" applyAlignment="1">
      <alignment horizontal="center"/>
    </xf>
    <xf numFmtId="0" fontId="6" fillId="4" borderId="0" xfId="0" applyFont="1" applyFill="1"/>
    <xf numFmtId="0" fontId="7" fillId="4" borderId="0" xfId="0" applyFont="1" applyFill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4" xfId="0" applyBorder="1"/>
    <xf numFmtId="9" fontId="0" fillId="0" borderId="0" xfId="0" applyNumberFormat="1"/>
    <xf numFmtId="166" fontId="6" fillId="5" borderId="0" xfId="0" applyNumberFormat="1" applyFont="1" applyFill="1"/>
    <xf numFmtId="165" fontId="6" fillId="4" borderId="0" xfId="0" applyNumberFormat="1" applyFont="1" applyFill="1"/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4" fontId="9" fillId="0" borderId="0" xfId="0" applyNumberFormat="1" applyFont="1"/>
    <xf numFmtId="9" fontId="8" fillId="0" borderId="0" xfId="0" applyNumberFormat="1" applyFont="1"/>
    <xf numFmtId="167" fontId="8" fillId="0" borderId="0" xfId="0" applyNumberFormat="1" applyFont="1"/>
    <xf numFmtId="0" fontId="8" fillId="0" borderId="0" xfId="0" applyFont="1"/>
    <xf numFmtId="2" fontId="0" fillId="0" borderId="0" xfId="0" applyNumberFormat="1"/>
    <xf numFmtId="9" fontId="10" fillId="0" borderId="0" xfId="0" applyNumberFormat="1" applyFont="1"/>
    <xf numFmtId="167" fontId="10" fillId="0" borderId="0" xfId="0" applyNumberFormat="1" applyFont="1"/>
    <xf numFmtId="0" fontId="1" fillId="3" borderId="0" xfId="0" applyFont="1" applyFill="1" applyAlignment="1">
      <alignment horizontal="left" indent="1"/>
    </xf>
    <xf numFmtId="4" fontId="1" fillId="3" borderId="0" xfId="0" applyNumberFormat="1" applyFont="1" applyFill="1" applyAlignment="1">
      <alignment horizontal="right"/>
    </xf>
    <xf numFmtId="0" fontId="6" fillId="6" borderId="0" xfId="0" applyFont="1" applyFill="1"/>
    <xf numFmtId="0" fontId="7" fillId="6" borderId="0" xfId="0" applyFont="1" applyFill="1"/>
    <xf numFmtId="167" fontId="8" fillId="7" borderId="0" xfId="0" applyNumberFormat="1" applyFont="1" applyFill="1"/>
    <xf numFmtId="0" fontId="1" fillId="0" borderId="6" xfId="0" applyFont="1" applyBorder="1"/>
    <xf numFmtId="10" fontId="0" fillId="0" borderId="0" xfId="0" applyNumberFormat="1"/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8" fillId="0" borderId="0" xfId="0" applyFont="1" applyAlignment="1">
      <alignment horizontal="right"/>
    </xf>
    <xf numFmtId="0" fontId="0" fillId="0" borderId="8" xfId="0" applyBorder="1" applyAlignment="1">
      <alignment horizontal="right"/>
    </xf>
    <xf numFmtId="10" fontId="0" fillId="0" borderId="3" xfId="0" applyNumberFormat="1" applyBorder="1"/>
    <xf numFmtId="10" fontId="1" fillId="0" borderId="7" xfId="0" applyNumberFormat="1" applyFont="1" applyBorder="1"/>
    <xf numFmtId="4" fontId="0" fillId="0" borderId="3" xfId="0" applyNumberFormat="1" applyBorder="1"/>
    <xf numFmtId="4" fontId="1" fillId="0" borderId="0" xfId="0" applyNumberFormat="1" applyFont="1"/>
    <xf numFmtId="2" fontId="0" fillId="0" borderId="3" xfId="0" applyNumberFormat="1" applyBorder="1"/>
    <xf numFmtId="2" fontId="1" fillId="0" borderId="0" xfId="0" applyNumberFormat="1" applyFont="1"/>
    <xf numFmtId="165" fontId="6" fillId="4" borderId="9" xfId="0" applyNumberFormat="1" applyFont="1" applyFill="1" applyBorder="1"/>
    <xf numFmtId="0" fontId="0" fillId="0" borderId="10" xfId="0" applyBorder="1"/>
    <xf numFmtId="0" fontId="7" fillId="4" borderId="9" xfId="0" applyFont="1" applyFill="1" applyBorder="1"/>
    <xf numFmtId="0" fontId="0" fillId="0" borderId="9" xfId="0" applyBorder="1"/>
    <xf numFmtId="4" fontId="0" fillId="0" borderId="9" xfId="0" applyNumberFormat="1" applyBorder="1"/>
    <xf numFmtId="167" fontId="8" fillId="0" borderId="9" xfId="0" applyNumberFormat="1" applyFont="1" applyBorder="1"/>
    <xf numFmtId="9" fontId="8" fillId="0" borderId="9" xfId="0" applyNumberFormat="1" applyFont="1" applyBorder="1"/>
    <xf numFmtId="0" fontId="1" fillId="0" borderId="9" xfId="0" applyFont="1" applyBorder="1"/>
    <xf numFmtId="37" fontId="0" fillId="0" borderId="10" xfId="0" applyNumberFormat="1" applyBorder="1"/>
    <xf numFmtId="2" fontId="0" fillId="0" borderId="4" xfId="0" applyNumberFormat="1" applyBorder="1"/>
    <xf numFmtId="9" fontId="0" fillId="0" borderId="3" xfId="0" applyNumberFormat="1" applyBorder="1"/>
    <xf numFmtId="10" fontId="0" fillId="0" borderId="5" xfId="0" applyNumberFormat="1" applyBorder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11" fillId="0" borderId="0" xfId="1" applyAlignment="1">
      <alignment horizontal="right"/>
    </xf>
    <xf numFmtId="3" fontId="0" fillId="0" borderId="0" xfId="0" applyNumberFormat="1"/>
    <xf numFmtId="14" fontId="0" fillId="0" borderId="0" xfId="0" applyNumberFormat="1" applyAlignment="1">
      <alignment horizontal="right"/>
    </xf>
    <xf numFmtId="167" fontId="0" fillId="0" borderId="0" xfId="0" applyNumberFormat="1" applyAlignment="1">
      <alignment horizontal="left" indent="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  <color rgb="FF747474"/>
      <color rgb="FFFF40FF"/>
      <color rgb="FF000000"/>
      <color rgb="FF0E2741"/>
      <color rgb="FF0E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New_Home_Page/datafile/ctryprem.html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www.cnbc.com/quotes/US10Y" TargetMode="External"/><Relationship Id="rId1" Type="http://schemas.openxmlformats.org/officeDocument/2006/relationships/hyperlink" Target="https://stockanalysis.com/stocks/wmt/statistics/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stock.walmart.com/_assets/_ef4b3350ef1127ae63b1dd51abb6cf31/walmart/db/950/9988/annual_report/Walmart+2026+Annual+Report.pdf" TargetMode="External"/><Relationship Id="rId4" Type="http://schemas.openxmlformats.org/officeDocument/2006/relationships/hyperlink" Target="https://stock.walmart.com/_assets/_ef4b3350ef1127ae63b1dd51abb6cf31/walmart/db/950/9988/annual_report/Walmart+2026+Annual+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8870-383A-3341-BD88-AEA0B3882E87}">
  <sheetPr>
    <pageSetUpPr fitToPage="1"/>
  </sheetPr>
  <dimension ref="A1:S78"/>
  <sheetViews>
    <sheetView showGridLines="0" tabSelected="1" zoomScale="125" workbookViewId="0">
      <pane xSplit="3" ySplit="1" topLeftCell="L50" activePane="bottomRight" state="frozen"/>
      <selection pane="topRight" activeCell="D1" sqref="D1"/>
      <selection pane="bottomLeft" activeCell="A2" sqref="A2"/>
      <selection pane="bottomRight" activeCell="R62" sqref="R62"/>
    </sheetView>
  </sheetViews>
  <sheetFormatPr defaultColWidth="11.5546875" defaultRowHeight="13.2" x14ac:dyDescent="0.25"/>
  <cols>
    <col min="1" max="1" width="2.77734375" style="30" customWidth="1"/>
    <col min="2" max="2" width="25.77734375" customWidth="1"/>
    <col min="9" max="9" width="13.6640625" bestFit="1" customWidth="1"/>
    <col min="13" max="13" width="14.33203125" style="68" customWidth="1"/>
    <col min="14" max="18" width="12.6640625" bestFit="1" customWidth="1"/>
    <col min="19" max="19" width="13.88671875" customWidth="1"/>
  </cols>
  <sheetData>
    <row r="1" spans="1:18" x14ac:dyDescent="0.25">
      <c r="D1" s="38">
        <v>2017</v>
      </c>
      <c r="E1" s="38">
        <f>+D1+1</f>
        <v>2018</v>
      </c>
      <c r="F1" s="38">
        <f t="shared" ref="F1:R1" si="0">+E1+1</f>
        <v>2019</v>
      </c>
      <c r="G1" s="38">
        <f t="shared" si="0"/>
        <v>2020</v>
      </c>
      <c r="H1" s="38">
        <f t="shared" si="0"/>
        <v>2021</v>
      </c>
      <c r="I1" s="38">
        <f t="shared" si="0"/>
        <v>2022</v>
      </c>
      <c r="J1" s="38">
        <f t="shared" si="0"/>
        <v>2023</v>
      </c>
      <c r="K1" s="38">
        <f t="shared" si="0"/>
        <v>2024</v>
      </c>
      <c r="L1" s="38">
        <f t="shared" si="0"/>
        <v>2025</v>
      </c>
      <c r="M1" s="65">
        <f t="shared" si="0"/>
        <v>2026</v>
      </c>
      <c r="N1" s="37">
        <f t="shared" si="0"/>
        <v>2027</v>
      </c>
      <c r="O1" s="37">
        <f t="shared" si="0"/>
        <v>2028</v>
      </c>
      <c r="P1" s="37">
        <f t="shared" si="0"/>
        <v>2029</v>
      </c>
      <c r="Q1" s="37">
        <f t="shared" si="0"/>
        <v>2030</v>
      </c>
      <c r="R1" s="37">
        <f t="shared" si="0"/>
        <v>2031</v>
      </c>
    </row>
    <row r="2" spans="1:18" s="27" customFormat="1" ht="22.8" x14ac:dyDescent="0.4">
      <c r="A2" s="30"/>
      <c r="B2" s="29" t="s">
        <v>109</v>
      </c>
      <c r="M2" s="66"/>
    </row>
    <row r="4" spans="1:18" s="32" customFormat="1" x14ac:dyDescent="0.25">
      <c r="A4" s="30" t="s">
        <v>111</v>
      </c>
      <c r="B4" s="31" t="s">
        <v>110</v>
      </c>
      <c r="M4" s="67"/>
    </row>
    <row r="5" spans="1:18" x14ac:dyDescent="0.25">
      <c r="B5" t="s">
        <v>112</v>
      </c>
      <c r="C5" s="33" t="s">
        <v>113</v>
      </c>
    </row>
    <row r="6" spans="1:18" x14ac:dyDescent="0.25">
      <c r="B6" t="s">
        <v>114</v>
      </c>
      <c r="C6" s="81">
        <v>46211</v>
      </c>
    </row>
    <row r="7" spans="1:18" x14ac:dyDescent="0.25">
      <c r="B7" t="s">
        <v>115</v>
      </c>
      <c r="C7" s="34">
        <v>111.85</v>
      </c>
    </row>
    <row r="8" spans="1:18" x14ac:dyDescent="0.25">
      <c r="B8" t="s">
        <v>116</v>
      </c>
      <c r="C8" s="74">
        <f>R64</f>
        <v>155.73391956265522</v>
      </c>
    </row>
    <row r="9" spans="1:18" x14ac:dyDescent="0.25">
      <c r="B9" t="s">
        <v>117</v>
      </c>
      <c r="C9" s="36">
        <f>C8/C7-1</f>
        <v>0.3923461740067522</v>
      </c>
    </row>
    <row r="11" spans="1:18" s="32" customFormat="1" x14ac:dyDescent="0.25">
      <c r="A11" s="30" t="s">
        <v>111</v>
      </c>
      <c r="B11" s="31" t="s">
        <v>118</v>
      </c>
      <c r="M11" s="67"/>
    </row>
    <row r="13" spans="1:18" x14ac:dyDescent="0.25">
      <c r="B13" s="50" t="s">
        <v>148</v>
      </c>
      <c r="C13" s="51"/>
      <c r="E13" s="50" t="s">
        <v>150</v>
      </c>
      <c r="F13" s="51"/>
      <c r="H13" s="50" t="s">
        <v>151</v>
      </c>
      <c r="I13" s="51"/>
      <c r="K13" s="50" t="s">
        <v>152</v>
      </c>
      <c r="L13" s="51"/>
    </row>
    <row r="14" spans="1:18" x14ac:dyDescent="0.25">
      <c r="B14" t="s">
        <v>149</v>
      </c>
      <c r="C14" s="35">
        <v>3</v>
      </c>
      <c r="E14" t="s">
        <v>145</v>
      </c>
      <c r="F14" s="36">
        <v>0.8</v>
      </c>
      <c r="K14" t="s">
        <v>145</v>
      </c>
      <c r="L14" s="36">
        <v>1.2</v>
      </c>
    </row>
    <row r="15" spans="1:18" x14ac:dyDescent="0.25">
      <c r="B15" t="s">
        <v>146</v>
      </c>
      <c r="C15" s="36">
        <f>CHOOSE($C$14,F15,I15,L15)</f>
        <v>6.5000000000000002E-2</v>
      </c>
      <c r="E15" t="s">
        <v>146</v>
      </c>
      <c r="F15" s="54">
        <v>0.08</v>
      </c>
      <c r="H15" t="s">
        <v>146</v>
      </c>
      <c r="I15" s="54">
        <f>WACC!C24</f>
        <v>6.9983139028629474E-2</v>
      </c>
      <c r="K15" t="s">
        <v>146</v>
      </c>
      <c r="L15" s="54">
        <f>6.5%</f>
        <v>6.5000000000000002E-2</v>
      </c>
    </row>
    <row r="16" spans="1:18" x14ac:dyDescent="0.25">
      <c r="B16" t="s">
        <v>147</v>
      </c>
      <c r="C16" s="36">
        <f>CHOOSE($C$14,F16,I16,L16)</f>
        <v>4.4999999999999998E-2</v>
      </c>
      <c r="E16" t="s">
        <v>147</v>
      </c>
      <c r="F16" s="54">
        <v>3.5000000000000003E-2</v>
      </c>
      <c r="H16" t="s">
        <v>147</v>
      </c>
      <c r="I16" s="82">
        <v>0.04</v>
      </c>
      <c r="K16" t="s">
        <v>147</v>
      </c>
      <c r="L16" s="54">
        <v>4.4999999999999998E-2</v>
      </c>
    </row>
    <row r="18" spans="1:18" s="32" customFormat="1" x14ac:dyDescent="0.25">
      <c r="A18" s="30" t="s">
        <v>111</v>
      </c>
      <c r="B18" s="31" t="s">
        <v>119</v>
      </c>
      <c r="M18" s="67"/>
    </row>
    <row r="20" spans="1:18" x14ac:dyDescent="0.25">
      <c r="B20" t="s">
        <v>122</v>
      </c>
      <c r="D20" s="41">
        <f>IS!D10</f>
        <v>485.14400000000001</v>
      </c>
      <c r="E20" s="41">
        <f>IS!E10</f>
        <v>499.90899999999999</v>
      </c>
      <c r="F20" s="41">
        <f>IS!F10</f>
        <v>514.40499999999997</v>
      </c>
      <c r="G20" s="41">
        <f>IS!G10</f>
        <v>523.96400000000006</v>
      </c>
      <c r="H20" s="41">
        <f>IS!H10</f>
        <v>559.15099999999995</v>
      </c>
      <c r="I20" s="41">
        <f>IS!I10</f>
        <v>572.75400000000002</v>
      </c>
      <c r="J20" s="41">
        <f>IS!J10</f>
        <v>611.28899999999999</v>
      </c>
      <c r="K20" s="41">
        <f>IS!K10</f>
        <v>648.125</v>
      </c>
      <c r="L20" s="41">
        <f>IS!L10</f>
        <v>680.99</v>
      </c>
      <c r="M20" s="41">
        <f>IS!M10</f>
        <v>713.16</v>
      </c>
      <c r="N20" s="14">
        <f>M20*(1+N23)</f>
        <v>749.74820111967017</v>
      </c>
      <c r="O20" s="14">
        <f t="shared" ref="O20:R20" si="1">N20*(1+O23)</f>
        <v>793.79724793242201</v>
      </c>
      <c r="P20" s="14">
        <f t="shared" si="1"/>
        <v>840.94577015971845</v>
      </c>
      <c r="Q20" s="14">
        <f t="shared" si="1"/>
        <v>892.74748307437835</v>
      </c>
      <c r="R20" s="14">
        <f t="shared" si="1"/>
        <v>951.88453325505156</v>
      </c>
    </row>
    <row r="21" spans="1:18" x14ac:dyDescent="0.25">
      <c r="B21" s="39" t="s">
        <v>127</v>
      </c>
      <c r="E21" s="47">
        <f>E20/D20-1</f>
        <v>3.0434262816813051E-2</v>
      </c>
      <c r="F21" s="47">
        <f t="shared" ref="F21:L21" si="2">F20/E20-1</f>
        <v>2.8997277504505758E-2</v>
      </c>
      <c r="G21" s="47">
        <f t="shared" si="2"/>
        <v>1.8582634305654322E-2</v>
      </c>
      <c r="H21" s="47">
        <f t="shared" si="2"/>
        <v>6.7155377086975276E-2</v>
      </c>
      <c r="I21" s="47">
        <f t="shared" si="2"/>
        <v>2.4327954345069625E-2</v>
      </c>
      <c r="J21" s="47">
        <f t="shared" si="2"/>
        <v>6.7280193590965709E-2</v>
      </c>
      <c r="K21" s="47">
        <f t="shared" si="2"/>
        <v>6.02595499019285E-2</v>
      </c>
      <c r="L21" s="47">
        <f t="shared" si="2"/>
        <v>5.0707810993249725E-2</v>
      </c>
      <c r="M21" s="70">
        <f>AVERAGE(H21:L21)</f>
        <v>5.394617718363777E-2</v>
      </c>
      <c r="N21" s="47">
        <f>CHOOSE($C$14,N22,N23,N24)</f>
        <v>6.1565204643564311E-2</v>
      </c>
      <c r="O21" s="47">
        <f t="shared" ref="O21:R21" si="3">CHOOSE($C$14,O22,O23,O24)</f>
        <v>7.0502144715203038E-2</v>
      </c>
      <c r="P21" s="47">
        <f t="shared" si="3"/>
        <v>7.1275412985019992E-2</v>
      </c>
      <c r="Q21" s="47">
        <f t="shared" si="3"/>
        <v>7.3919220124961951E-2</v>
      </c>
      <c r="R21" s="47">
        <f t="shared" si="3"/>
        <v>7.9489958316572892E-2</v>
      </c>
    </row>
    <row r="22" spans="1:18" x14ac:dyDescent="0.25">
      <c r="B22" s="39" t="s">
        <v>142</v>
      </c>
      <c r="E22" s="47"/>
      <c r="F22" s="47"/>
      <c r="G22" s="47"/>
      <c r="H22" s="47"/>
      <c r="I22" s="47"/>
      <c r="J22" s="47"/>
      <c r="K22" s="47"/>
      <c r="L22" s="47"/>
      <c r="M22" s="70"/>
      <c r="N22" s="52">
        <f>$F$14*N23</f>
        <v>4.1043469762376217E-2</v>
      </c>
      <c r="O22" s="52">
        <f t="shared" ref="O22:R22" si="4">$F$14*O23</f>
        <v>4.7001429810135359E-2</v>
      </c>
      <c r="P22" s="52">
        <f t="shared" si="4"/>
        <v>4.7516941990013335E-2</v>
      </c>
      <c r="Q22" s="52">
        <f t="shared" si="4"/>
        <v>4.9279480083307972E-2</v>
      </c>
      <c r="R22" s="52">
        <f t="shared" si="4"/>
        <v>5.2993305544381933E-2</v>
      </c>
    </row>
    <row r="23" spans="1:18" x14ac:dyDescent="0.25">
      <c r="B23" s="39" t="s">
        <v>143</v>
      </c>
      <c r="E23" s="47"/>
      <c r="F23" s="47"/>
      <c r="G23" s="47"/>
      <c r="H23" s="47"/>
      <c r="I23" s="47"/>
      <c r="J23" s="47"/>
      <c r="K23" s="47"/>
      <c r="L23" s="47"/>
      <c r="M23" s="70"/>
      <c r="N23" s="52">
        <f>AVERAGE(I21:M21)</f>
        <v>5.1304337202970264E-2</v>
      </c>
      <c r="O23" s="52">
        <f>AVERAGE(J21:N21)</f>
        <v>5.8751787262669199E-2</v>
      </c>
      <c r="P23" s="52">
        <f>AVERAGE(K21:O21)</f>
        <v>5.9396177487516667E-2</v>
      </c>
      <c r="Q23" s="52">
        <f>AVERAGE(L21:P21)</f>
        <v>6.1599350104134962E-2</v>
      </c>
      <c r="R23" s="52">
        <f>AVERAGE(M21:Q21)</f>
        <v>6.6241631930477413E-2</v>
      </c>
    </row>
    <row r="24" spans="1:18" x14ac:dyDescent="0.25">
      <c r="B24" s="39" t="s">
        <v>144</v>
      </c>
      <c r="E24" s="47"/>
      <c r="F24" s="47"/>
      <c r="G24" s="47"/>
      <c r="H24" s="47"/>
      <c r="I24" s="47"/>
      <c r="J24" s="47"/>
      <c r="K24" s="47"/>
      <c r="L24" s="47"/>
      <c r="M24" s="70"/>
      <c r="N24" s="52">
        <f>$L$14*N23</f>
        <v>6.1565204643564311E-2</v>
      </c>
      <c r="O24" s="52">
        <f t="shared" ref="O24:R24" si="5">$L$14*O23</f>
        <v>7.0502144715203038E-2</v>
      </c>
      <c r="P24" s="52">
        <f t="shared" si="5"/>
        <v>7.1275412985019992E-2</v>
      </c>
      <c r="Q24" s="52">
        <f t="shared" si="5"/>
        <v>7.3919220124961951E-2</v>
      </c>
      <c r="R24" s="52">
        <f t="shared" si="5"/>
        <v>7.9489958316572892E-2</v>
      </c>
    </row>
    <row r="26" spans="1:18" x14ac:dyDescent="0.25">
      <c r="B26" t="s">
        <v>61</v>
      </c>
      <c r="D26" s="41">
        <f>IS!D18</f>
        <v>22.035</v>
      </c>
      <c r="E26" s="41">
        <f>IS!E18</f>
        <v>21.202999999999999</v>
      </c>
      <c r="F26" s="41">
        <f>IS!F18</f>
        <v>21.957000000000001</v>
      </c>
      <c r="G26" s="41">
        <f>IS!G18</f>
        <v>21.468</v>
      </c>
      <c r="H26" s="41">
        <f>IS!H18</f>
        <v>26.948</v>
      </c>
      <c r="I26" s="41">
        <f>IS!I18</f>
        <v>28.442</v>
      </c>
      <c r="J26" s="41">
        <f>IS!J18</f>
        <v>24.527999999999999</v>
      </c>
      <c r="K26" s="41">
        <f>IS!K18</f>
        <v>27.012</v>
      </c>
      <c r="L26" s="41">
        <f>IS!L18</f>
        <v>29.35</v>
      </c>
      <c r="M26" s="41">
        <f>IS!M18</f>
        <v>29.83</v>
      </c>
      <c r="N26" s="14">
        <f t="shared" ref="N26:R26" si="6">N20*N27</f>
        <v>32.855515536565299</v>
      </c>
      <c r="O26" s="14">
        <f t="shared" si="6"/>
        <v>33.859275796081953</v>
      </c>
      <c r="P26" s="14">
        <f t="shared" si="6"/>
        <v>36.295867070881123</v>
      </c>
      <c r="Q26" s="14">
        <f t="shared" si="6"/>
        <v>38.79656930326739</v>
      </c>
      <c r="R26" s="14">
        <f t="shared" si="6"/>
        <v>41.434763188998922</v>
      </c>
    </row>
    <row r="27" spans="1:18" x14ac:dyDescent="0.25">
      <c r="B27" s="39" t="s">
        <v>126</v>
      </c>
      <c r="D27" s="46">
        <f>D26/D20</f>
        <v>4.5419504312121758E-2</v>
      </c>
      <c r="E27" s="46">
        <f>E26/E20</f>
        <v>4.2413719296912039E-2</v>
      </c>
      <c r="F27" s="46">
        <f t="shared" ref="F27:L27" si="7">F26/F20</f>
        <v>4.2684266288235927E-2</v>
      </c>
      <c r="G27" s="46">
        <f t="shared" si="7"/>
        <v>4.0972280538357594E-2</v>
      </c>
      <c r="H27" s="46">
        <f t="shared" si="7"/>
        <v>4.8194494868112552E-2</v>
      </c>
      <c r="I27" s="46">
        <f t="shared" si="7"/>
        <v>4.9658317532483405E-2</v>
      </c>
      <c r="J27" s="46">
        <f t="shared" si="7"/>
        <v>4.0125047236249954E-2</v>
      </c>
      <c r="K27" s="46">
        <f t="shared" si="7"/>
        <v>4.16771456123433E-2</v>
      </c>
      <c r="L27" s="46">
        <f t="shared" si="7"/>
        <v>4.3099017606719629E-2</v>
      </c>
      <c r="M27" s="70">
        <f>AVERAGE(H27:L27)</f>
        <v>4.4550804571181768E-2</v>
      </c>
      <c r="N27" s="43">
        <f t="shared" ref="N27" si="8">AVERAGE(I27:M27)</f>
        <v>4.3822066511795613E-2</v>
      </c>
      <c r="O27" s="43">
        <f t="shared" ref="O27" si="9">AVERAGE(J27:N27)</f>
        <v>4.265481630765805E-2</v>
      </c>
      <c r="P27" s="43">
        <f t="shared" ref="P27" si="10">AVERAGE(K27:O27)</f>
        <v>4.3160770121939675E-2</v>
      </c>
      <c r="Q27" s="43">
        <f t="shared" ref="Q27" si="11">AVERAGE(L27:P27)</f>
        <v>4.3457495023858941E-2</v>
      </c>
      <c r="R27" s="43">
        <f t="shared" ref="R27" si="12">AVERAGE(M27:Q27)</f>
        <v>4.3529190507286805E-2</v>
      </c>
    </row>
    <row r="29" spans="1:18" x14ac:dyDescent="0.25">
      <c r="B29" t="s">
        <v>123</v>
      </c>
      <c r="D29" s="41">
        <f>IS!D37</f>
        <v>6.2039999999999997</v>
      </c>
      <c r="E29" s="41">
        <f>IS!E37</f>
        <v>4.5999999999999996</v>
      </c>
      <c r="F29" s="41">
        <f>IS!F37</f>
        <v>4.2809999999999997</v>
      </c>
      <c r="G29" s="41">
        <f>IS!G37</f>
        <v>4.915</v>
      </c>
      <c r="H29" s="41">
        <f>IS!H37</f>
        <v>6.8579999999999997</v>
      </c>
      <c r="I29" s="41">
        <f>IS!I37</f>
        <v>4.7560000000000002</v>
      </c>
      <c r="J29" s="41">
        <f>IS!J37</f>
        <v>5.7240000000000002</v>
      </c>
      <c r="K29" s="41">
        <f>IS!K37</f>
        <v>5.5780000000000003</v>
      </c>
      <c r="L29" s="41">
        <f>IS!L37</f>
        <v>6.15</v>
      </c>
      <c r="M29" s="41">
        <f>IS!M37</f>
        <v>7.2</v>
      </c>
      <c r="N29" s="14">
        <f>N26*N30</f>
        <v>6.7738030899487205</v>
      </c>
      <c r="O29" s="14">
        <f t="shared" ref="O29:R29" si="13">O26*O30</f>
        <v>7.2445246732459143</v>
      </c>
      <c r="P29" s="14">
        <f t="shared" si="13"/>
        <v>7.6249848811977126</v>
      </c>
      <c r="Q29" s="14">
        <f t="shared" si="13"/>
        <v>8.1780900495483788</v>
      </c>
      <c r="R29" s="14">
        <f t="shared" si="13"/>
        <v>8.7445987429464633</v>
      </c>
    </row>
    <row r="30" spans="1:18" x14ac:dyDescent="0.25">
      <c r="B30" s="39" t="s">
        <v>124</v>
      </c>
      <c r="D30" s="46">
        <f>D29/D26</f>
        <v>0.28155207624234174</v>
      </c>
      <c r="E30" s="46">
        <f>E29/E26</f>
        <v>0.21695043154270621</v>
      </c>
      <c r="F30" s="46">
        <f t="shared" ref="F30:L30" si="14">F29/F26</f>
        <v>0.19497199070911325</v>
      </c>
      <c r="G30" s="46">
        <f t="shared" si="14"/>
        <v>0.22894540711757033</v>
      </c>
      <c r="H30" s="46">
        <f t="shared" si="14"/>
        <v>0.25449012913759833</v>
      </c>
      <c r="I30" s="46">
        <f t="shared" si="14"/>
        <v>0.16721749525349835</v>
      </c>
      <c r="J30" s="46">
        <f t="shared" si="14"/>
        <v>0.23336594911937381</v>
      </c>
      <c r="K30" s="46">
        <f t="shared" si="14"/>
        <v>0.20650081445283577</v>
      </c>
      <c r="L30" s="46">
        <f t="shared" si="14"/>
        <v>0.20954003407155025</v>
      </c>
      <c r="M30" s="71">
        <f>AVERAGE(H30:L30)</f>
        <v>0.21422288440697129</v>
      </c>
      <c r="N30" s="42">
        <f>AVERAGE(I30:M30)</f>
        <v>0.20616943546084593</v>
      </c>
      <c r="O30" s="42">
        <f t="shared" ref="O30:R30" si="15">AVERAGE(J30:N30)</f>
        <v>0.2139598235023154</v>
      </c>
      <c r="P30" s="42">
        <f t="shared" si="15"/>
        <v>0.21007859837890375</v>
      </c>
      <c r="Q30" s="42">
        <f t="shared" si="15"/>
        <v>0.21079415516411734</v>
      </c>
      <c r="R30" s="42">
        <f t="shared" si="15"/>
        <v>0.21104497938263073</v>
      </c>
    </row>
    <row r="32" spans="1:18" x14ac:dyDescent="0.25">
      <c r="B32" t="s">
        <v>125</v>
      </c>
      <c r="D32" s="14">
        <f>D26-D29</f>
        <v>15.831</v>
      </c>
      <c r="E32" s="14">
        <f t="shared" ref="E32:R32" si="16">E26-E29</f>
        <v>16.603000000000002</v>
      </c>
      <c r="F32" s="14">
        <f t="shared" si="16"/>
        <v>17.676000000000002</v>
      </c>
      <c r="G32" s="14">
        <f t="shared" si="16"/>
        <v>16.553000000000001</v>
      </c>
      <c r="H32" s="14">
        <f t="shared" si="16"/>
        <v>20.09</v>
      </c>
      <c r="I32" s="14">
        <f t="shared" si="16"/>
        <v>23.686</v>
      </c>
      <c r="J32" s="14">
        <f t="shared" si="16"/>
        <v>18.803999999999998</v>
      </c>
      <c r="K32" s="14">
        <f t="shared" si="16"/>
        <v>21.434000000000001</v>
      </c>
      <c r="L32" s="14">
        <f t="shared" si="16"/>
        <v>23.200000000000003</v>
      </c>
      <c r="M32" s="69">
        <f t="shared" si="16"/>
        <v>22.63</v>
      </c>
      <c r="N32" s="14">
        <f>N26-N29</f>
        <v>26.081712446616578</v>
      </c>
      <c r="O32" s="14">
        <f t="shared" si="16"/>
        <v>26.61475112283604</v>
      </c>
      <c r="P32" s="14">
        <f t="shared" si="16"/>
        <v>28.670882189683411</v>
      </c>
      <c r="Q32" s="14">
        <f t="shared" si="16"/>
        <v>30.618479253719009</v>
      </c>
      <c r="R32" s="14">
        <f t="shared" si="16"/>
        <v>32.690164446052457</v>
      </c>
    </row>
    <row r="33" spans="1:18" x14ac:dyDescent="0.25">
      <c r="B33" s="39" t="s">
        <v>126</v>
      </c>
      <c r="D33" s="42">
        <f>D32/D20</f>
        <v>3.2631548571145884E-2</v>
      </c>
      <c r="E33" s="42">
        <f t="shared" ref="E33:R33" si="17">E32/E20</f>
        <v>3.3212044592115769E-2</v>
      </c>
      <c r="F33" s="42">
        <f t="shared" si="17"/>
        <v>3.4362029918060678E-2</v>
      </c>
      <c r="G33" s="42">
        <f t="shared" si="17"/>
        <v>3.1591865089968009E-2</v>
      </c>
      <c r="H33" s="42">
        <f t="shared" si="17"/>
        <v>3.5929471645405268E-2</v>
      </c>
      <c r="I33" s="42">
        <f t="shared" si="17"/>
        <v>4.1354578056198646E-2</v>
      </c>
      <c r="J33" s="42">
        <f t="shared" si="17"/>
        <v>3.0761227504502778E-2</v>
      </c>
      <c r="K33" s="42">
        <f t="shared" si="17"/>
        <v>3.3070781099324979E-2</v>
      </c>
      <c r="L33" s="42">
        <f t="shared" si="17"/>
        <v>3.406804798895726E-2</v>
      </c>
      <c r="M33" s="71">
        <f t="shared" si="17"/>
        <v>3.173200964720399E-2</v>
      </c>
      <c r="N33" s="42">
        <f t="shared" si="17"/>
        <v>3.4787295798331064E-2</v>
      </c>
      <c r="O33" s="42">
        <f t="shared" si="17"/>
        <v>3.3528399338947849E-2</v>
      </c>
      <c r="P33" s="42">
        <f t="shared" si="17"/>
        <v>3.4093616029768521E-2</v>
      </c>
      <c r="Q33" s="42">
        <f t="shared" si="17"/>
        <v>3.4296909074755758E-2</v>
      </c>
      <c r="R33" s="42">
        <f t="shared" si="17"/>
        <v>3.4342573394133852E-2</v>
      </c>
    </row>
    <row r="35" spans="1:18" s="32" customFormat="1" x14ac:dyDescent="0.25">
      <c r="A35" s="30" t="s">
        <v>111</v>
      </c>
      <c r="B35" s="31" t="s">
        <v>120</v>
      </c>
      <c r="M35" s="67"/>
    </row>
    <row r="37" spans="1:18" x14ac:dyDescent="0.25">
      <c r="B37" t="s">
        <v>128</v>
      </c>
      <c r="D37" s="41">
        <f>CFS!D8</f>
        <v>10.08</v>
      </c>
      <c r="E37" s="41">
        <f>CFS!E8</f>
        <v>10.529</v>
      </c>
      <c r="F37" s="41">
        <f>CFS!F8</f>
        <v>10.678000000000001</v>
      </c>
      <c r="G37" s="41">
        <f>CFS!G8</f>
        <v>10.987</v>
      </c>
      <c r="H37" s="41">
        <f>CFS!H8</f>
        <v>11.151999999999999</v>
      </c>
      <c r="I37" s="41">
        <f>CFS!I8</f>
        <v>10.657999999999999</v>
      </c>
      <c r="J37" s="41">
        <f>CFS!J8</f>
        <v>10.945</v>
      </c>
      <c r="K37" s="41">
        <f>CFS!K8</f>
        <v>11.853</v>
      </c>
      <c r="L37" s="41">
        <f>CFS!L8</f>
        <v>12.97</v>
      </c>
      <c r="M37" s="41">
        <f>CFS!M8</f>
        <v>14.2</v>
      </c>
      <c r="N37" s="45">
        <f>N20*N38</f>
        <v>14.928521588282175</v>
      </c>
      <c r="O37" s="45">
        <f t="shared" ref="O37:R37" si="18">O20*O38</f>
        <v>15.805598912783095</v>
      </c>
      <c r="P37" s="45">
        <f t="shared" si="18"/>
        <v>16.744391071103262</v>
      </c>
      <c r="Q37" s="45">
        <f t="shared" si="18"/>
        <v>17.775834678972704</v>
      </c>
      <c r="R37" s="45">
        <f t="shared" si="18"/>
        <v>18.953334977034231</v>
      </c>
    </row>
    <row r="38" spans="1:18" x14ac:dyDescent="0.25">
      <c r="B38" s="39" t="s">
        <v>126</v>
      </c>
      <c r="D38" s="46">
        <f>D37/D20</f>
        <v>2.0777336213577823E-2</v>
      </c>
      <c r="E38" s="46">
        <f>E37/E20</f>
        <v>2.1061833253652164E-2</v>
      </c>
      <c r="F38" s="46">
        <f t="shared" ref="F38:M38" si="19">F37/F20</f>
        <v>2.0757963083562564E-2</v>
      </c>
      <c r="G38" s="46">
        <f t="shared" si="19"/>
        <v>2.0968997870082676E-2</v>
      </c>
      <c r="H38" s="46">
        <f t="shared" si="19"/>
        <v>1.99445230358168E-2</v>
      </c>
      <c r="I38" s="46">
        <f t="shared" si="19"/>
        <v>1.8608337960101543E-2</v>
      </c>
      <c r="J38" s="46">
        <f t="shared" si="19"/>
        <v>1.7904788078961016E-2</v>
      </c>
      <c r="K38" s="46">
        <f t="shared" si="19"/>
        <v>1.8288138862102218E-2</v>
      </c>
      <c r="L38" s="46">
        <f t="shared" si="19"/>
        <v>1.9045800966240329E-2</v>
      </c>
      <c r="M38" s="71">
        <f t="shared" si="19"/>
        <v>1.9911380335408603E-2</v>
      </c>
      <c r="N38" s="42">
        <f>M38</f>
        <v>1.9911380335408603E-2</v>
      </c>
      <c r="O38" s="42">
        <f t="shared" ref="O38:R38" si="20">N38</f>
        <v>1.9911380335408603E-2</v>
      </c>
      <c r="P38" s="42">
        <f t="shared" si="20"/>
        <v>1.9911380335408603E-2</v>
      </c>
      <c r="Q38" s="42">
        <f t="shared" si="20"/>
        <v>1.9911380335408603E-2</v>
      </c>
      <c r="R38" s="42">
        <f t="shared" si="20"/>
        <v>1.9911380335408603E-2</v>
      </c>
    </row>
    <row r="40" spans="1:18" x14ac:dyDescent="0.25">
      <c r="B40" t="s">
        <v>129</v>
      </c>
      <c r="D40" s="41">
        <f>-CFS!B25</f>
        <v>12.173999999999999</v>
      </c>
      <c r="E40" s="41">
        <f>-CFS!C25</f>
        <v>11.477</v>
      </c>
      <c r="F40" s="41">
        <f>-CFS!D25</f>
        <v>10.619</v>
      </c>
      <c r="G40" s="41">
        <f>-CFS!E25</f>
        <v>10.051</v>
      </c>
      <c r="H40" s="41">
        <f>-CFS!F25</f>
        <v>10.343999999999999</v>
      </c>
      <c r="I40" s="41">
        <f>-CFS!G25</f>
        <v>10.705</v>
      </c>
      <c r="J40" s="41">
        <f>-CFS!H25</f>
        <v>10.263999999999999</v>
      </c>
      <c r="K40" s="41">
        <f>-CFS!I25</f>
        <v>13.106</v>
      </c>
      <c r="L40" s="41">
        <f>-CFS!J25</f>
        <v>16.856999999999999</v>
      </c>
      <c r="M40" s="41">
        <f>-CFS!K25</f>
        <v>20.606000000000002</v>
      </c>
      <c r="N40" s="45">
        <f>N20*N41</f>
        <v>16.397016934302062</v>
      </c>
      <c r="O40" s="45">
        <f t="shared" ref="O40:R40" si="21">O20*O41</f>
        <v>17.865167942827647</v>
      </c>
      <c r="P40" s="45">
        <f t="shared" si="21"/>
        <v>19.88752693021695</v>
      </c>
      <c r="Q40" s="45">
        <f t="shared" si="21"/>
        <v>21.72458059444131</v>
      </c>
      <c r="R40" s="45">
        <f t="shared" si="21"/>
        <v>23.083856080926502</v>
      </c>
    </row>
    <row r="41" spans="1:18" x14ac:dyDescent="0.25">
      <c r="B41" s="39" t="s">
        <v>126</v>
      </c>
      <c r="D41" s="42">
        <f>D40/D20</f>
        <v>2.5093580462707977E-2</v>
      </c>
      <c r="E41" s="42">
        <f t="shared" ref="E41:M41" si="22">E40/E20</f>
        <v>2.2958178388466702E-2</v>
      </c>
      <c r="F41" s="42">
        <f t="shared" si="22"/>
        <v>2.0643267464352019E-2</v>
      </c>
      <c r="G41" s="42">
        <f t="shared" si="22"/>
        <v>1.9182615599545004E-2</v>
      </c>
      <c r="H41" s="42">
        <f t="shared" si="22"/>
        <v>1.8499475097066804E-2</v>
      </c>
      <c r="I41" s="42">
        <f t="shared" si="22"/>
        <v>1.8690397622714114E-2</v>
      </c>
      <c r="J41" s="42">
        <f t="shared" si="22"/>
        <v>1.6790748729324428E-2</v>
      </c>
      <c r="K41" s="42">
        <f t="shared" si="22"/>
        <v>2.0221407907425264E-2</v>
      </c>
      <c r="L41" s="42">
        <f t="shared" si="22"/>
        <v>2.4753667454735017E-2</v>
      </c>
      <c r="M41" s="71">
        <f t="shared" si="22"/>
        <v>2.8893936844466884E-2</v>
      </c>
      <c r="N41" s="42">
        <f>AVERAGE(I41:M41)</f>
        <v>2.1870031711733139E-2</v>
      </c>
      <c r="O41" s="42">
        <f t="shared" ref="O41:R41" si="23">AVERAGE(J41:N41)</f>
        <v>2.2505958529536945E-2</v>
      </c>
      <c r="P41" s="42">
        <f t="shared" si="23"/>
        <v>2.364900048957945E-2</v>
      </c>
      <c r="Q41" s="42">
        <f t="shared" si="23"/>
        <v>2.4334519006010288E-2</v>
      </c>
      <c r="R41" s="42">
        <f t="shared" si="23"/>
        <v>2.4250689316265343E-2</v>
      </c>
    </row>
    <row r="43" spans="1:18" x14ac:dyDescent="0.25">
      <c r="B43" t="s">
        <v>130</v>
      </c>
      <c r="D43" s="41">
        <f>-CFS!D14</f>
        <v>-6.19</v>
      </c>
      <c r="E43" s="41">
        <f>-CFS!E14</f>
        <v>-3.2429999999999999</v>
      </c>
      <c r="F43" s="41">
        <f>-CFS!F14</f>
        <v>-0.29499999999999998</v>
      </c>
      <c r="G43" s="41">
        <f>-CFS!G14</f>
        <v>0.32700000000000001</v>
      </c>
      <c r="H43" s="41">
        <f>-CFS!H14</f>
        <v>-7.9720000000000004</v>
      </c>
      <c r="I43" s="41">
        <f>-CFS!I14</f>
        <v>6.5970000000000004</v>
      </c>
      <c r="J43" s="41">
        <f>-CFS!J14</f>
        <v>-2.5529999999999999</v>
      </c>
      <c r="K43" s="41">
        <f>-CFS!K14</f>
        <v>-1.9430000000000001</v>
      </c>
      <c r="L43" s="41">
        <f>-CFS!L14</f>
        <v>-0.18</v>
      </c>
      <c r="M43" s="41">
        <f>-CFS!M14</f>
        <v>-0.75</v>
      </c>
      <c r="N43" s="14">
        <f>N20*N44</f>
        <v>0.45401096862688917</v>
      </c>
      <c r="O43" s="14">
        <f t="shared" ref="O43:R43" si="24">O20*O44</f>
        <v>-1.2517748161440589</v>
      </c>
      <c r="P43" s="14">
        <f t="shared" si="24"/>
        <v>-0.88892189110053099</v>
      </c>
      <c r="Q43" s="14">
        <f t="shared" si="24"/>
        <v>-0.59714498595004117</v>
      </c>
      <c r="R43" s="14">
        <f t="shared" si="24"/>
        <v>-0.71372038703908014</v>
      </c>
    </row>
    <row r="44" spans="1:18" x14ac:dyDescent="0.25">
      <c r="B44" s="39" t="s">
        <v>126</v>
      </c>
      <c r="D44" s="42">
        <f>D43/D20</f>
        <v>-1.275909832956813E-2</v>
      </c>
      <c r="E44" s="42">
        <f t="shared" ref="E44:M44" si="25">E43/E20</f>
        <v>-6.4871806668813725E-3</v>
      </c>
      <c r="F44" s="42">
        <f t="shared" si="25"/>
        <v>-5.734780960527211E-4</v>
      </c>
      <c r="G44" s="42">
        <f t="shared" si="25"/>
        <v>6.2408867784809641E-4</v>
      </c>
      <c r="H44" s="42">
        <f t="shared" si="25"/>
        <v>-1.4257329415488842E-2</v>
      </c>
      <c r="I44" s="42">
        <f t="shared" si="25"/>
        <v>1.1518033920321814E-2</v>
      </c>
      <c r="J44" s="42">
        <f t="shared" si="25"/>
        <v>-4.176420645553903E-3</v>
      </c>
      <c r="K44" s="42">
        <f t="shared" si="25"/>
        <v>-2.9978784956605593E-3</v>
      </c>
      <c r="L44" s="42">
        <f t="shared" si="25"/>
        <v>-2.6432106198328903E-4</v>
      </c>
      <c r="M44" s="71">
        <f t="shared" si="25"/>
        <v>-1.0516574120814405E-3</v>
      </c>
      <c r="N44" s="43">
        <f>AVERAGE(I44:M44)</f>
        <v>6.0555126100852454E-4</v>
      </c>
      <c r="O44" s="43">
        <f t="shared" ref="O44:R44" si="26">AVERAGE(J44:N44)</f>
        <v>-1.5769452708541333E-3</v>
      </c>
      <c r="P44" s="43">
        <f t="shared" si="26"/>
        <v>-1.0570501959141795E-3</v>
      </c>
      <c r="Q44" s="43">
        <f t="shared" si="26"/>
        <v>-6.6888453596490355E-4</v>
      </c>
      <c r="R44" s="43">
        <f t="shared" si="26"/>
        <v>-7.4979723076122639E-4</v>
      </c>
    </row>
    <row r="46" spans="1:18" s="32" customFormat="1" x14ac:dyDescent="0.25">
      <c r="A46" s="30" t="s">
        <v>111</v>
      </c>
      <c r="B46" s="31" t="s">
        <v>121</v>
      </c>
      <c r="M46" s="67"/>
    </row>
    <row r="48" spans="1:18" x14ac:dyDescent="0.25">
      <c r="B48" t="s">
        <v>131</v>
      </c>
      <c r="N48" s="14">
        <f>N32</f>
        <v>26.081712446616578</v>
      </c>
      <c r="O48" s="14">
        <f t="shared" ref="O48:R48" si="27">O32</f>
        <v>26.61475112283604</v>
      </c>
      <c r="P48" s="14">
        <f t="shared" si="27"/>
        <v>28.670882189683411</v>
      </c>
      <c r="Q48" s="14">
        <f t="shared" si="27"/>
        <v>30.618479253719009</v>
      </c>
      <c r="R48" s="14">
        <f t="shared" si="27"/>
        <v>32.690164446052457</v>
      </c>
    </row>
    <row r="49" spans="1:19" x14ac:dyDescent="0.25">
      <c r="B49" t="s">
        <v>128</v>
      </c>
      <c r="N49" s="45">
        <f>N37</f>
        <v>14.928521588282175</v>
      </c>
      <c r="O49" s="45">
        <f t="shared" ref="O49:R49" si="28">O37</f>
        <v>15.805598912783095</v>
      </c>
      <c r="P49" s="45">
        <f t="shared" si="28"/>
        <v>16.744391071103262</v>
      </c>
      <c r="Q49" s="45">
        <f t="shared" si="28"/>
        <v>17.775834678972704</v>
      </c>
      <c r="R49" s="45">
        <f t="shared" si="28"/>
        <v>18.953334977034231</v>
      </c>
    </row>
    <row r="50" spans="1:19" x14ac:dyDescent="0.25">
      <c r="B50" t="s">
        <v>129</v>
      </c>
      <c r="N50" s="45">
        <f>N40</f>
        <v>16.397016934302062</v>
      </c>
      <c r="O50" s="45">
        <f t="shared" ref="O50:R50" si="29">O40</f>
        <v>17.865167942827647</v>
      </c>
      <c r="P50" s="45">
        <f t="shared" si="29"/>
        <v>19.88752693021695</v>
      </c>
      <c r="Q50" s="45">
        <f t="shared" si="29"/>
        <v>21.72458059444131</v>
      </c>
      <c r="R50" s="45">
        <f t="shared" si="29"/>
        <v>23.083856080926502</v>
      </c>
    </row>
    <row r="51" spans="1:19" x14ac:dyDescent="0.25">
      <c r="B51" s="27" t="s">
        <v>130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66"/>
      <c r="N51" s="61">
        <f>N43</f>
        <v>0.45401096862688917</v>
      </c>
      <c r="O51" s="61">
        <f t="shared" ref="O51:R51" si="30">O43</f>
        <v>-1.2517748161440589</v>
      </c>
      <c r="P51" s="61">
        <f t="shared" si="30"/>
        <v>-0.88892189110053099</v>
      </c>
      <c r="Q51" s="61">
        <f t="shared" si="30"/>
        <v>-0.59714498595004117</v>
      </c>
      <c r="R51" s="61">
        <f t="shared" si="30"/>
        <v>-0.71372038703908014</v>
      </c>
    </row>
    <row r="52" spans="1:19" s="24" customFormat="1" x14ac:dyDescent="0.25">
      <c r="A52" s="40"/>
      <c r="B52" s="24" t="s">
        <v>132</v>
      </c>
      <c r="M52" s="72"/>
      <c r="N52" s="62">
        <f>N48+N49-N50-N51</f>
        <v>24.1592061319698</v>
      </c>
      <c r="O52" s="62">
        <f t="shared" ref="O52:R52" si="31">O48+O49-O50-O51</f>
        <v>25.80695690893555</v>
      </c>
      <c r="P52" s="62">
        <f t="shared" si="31"/>
        <v>26.416668221670257</v>
      </c>
      <c r="Q52" s="62">
        <f t="shared" si="31"/>
        <v>27.266878324200448</v>
      </c>
      <c r="R52" s="62">
        <f t="shared" si="31"/>
        <v>29.273363729199264</v>
      </c>
    </row>
    <row r="54" spans="1:19" x14ac:dyDescent="0.25">
      <c r="B54" t="s">
        <v>133</v>
      </c>
      <c r="N54">
        <v>1</v>
      </c>
      <c r="O54">
        <f>+N54+1</f>
        <v>2</v>
      </c>
      <c r="P54">
        <f t="shared" ref="P54:R54" si="32">+O54+1</f>
        <v>3</v>
      </c>
      <c r="Q54">
        <f t="shared" si="32"/>
        <v>4</v>
      </c>
      <c r="R54">
        <f t="shared" si="32"/>
        <v>5</v>
      </c>
    </row>
    <row r="55" spans="1:19" x14ac:dyDescent="0.25">
      <c r="B55" t="s">
        <v>176</v>
      </c>
      <c r="N55">
        <v>0.5</v>
      </c>
      <c r="O55">
        <f>+N55+1</f>
        <v>1.5</v>
      </c>
      <c r="P55">
        <f t="shared" ref="P55:R55" si="33">+O55+1</f>
        <v>2.5</v>
      </c>
      <c r="Q55">
        <f t="shared" si="33"/>
        <v>3.5</v>
      </c>
      <c r="R55">
        <f t="shared" si="33"/>
        <v>4.5</v>
      </c>
    </row>
    <row r="56" spans="1:19" x14ac:dyDescent="0.25">
      <c r="B56" t="s">
        <v>137</v>
      </c>
      <c r="N56" s="45">
        <f>N52/(1+$C$15)^N55</f>
        <v>23.410347235313299</v>
      </c>
      <c r="O56" s="45">
        <f>O52/(1+$C$15)^O55</f>
        <v>23.480772728018362</v>
      </c>
      <c r="P56" s="45">
        <f>P52/(1+$C$15)^P55</f>
        <v>22.568568976932685</v>
      </c>
      <c r="Q56" s="45">
        <f>Q52/(1+$C$15)^Q55</f>
        <v>21.873173253535327</v>
      </c>
      <c r="R56" s="45">
        <f>R52/(1+$C$15)^R55</f>
        <v>22.049532913014943</v>
      </c>
    </row>
    <row r="57" spans="1:19" x14ac:dyDescent="0.25">
      <c r="B57" t="s">
        <v>135</v>
      </c>
      <c r="R57" s="45">
        <f>(R52*(1+$C$16))/($C$15-$C$16)</f>
        <v>1529.5332548506613</v>
      </c>
    </row>
    <row r="58" spans="1:19" x14ac:dyDescent="0.25">
      <c r="B58" s="27" t="s">
        <v>134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66"/>
      <c r="N58" s="27"/>
      <c r="O58" s="27"/>
      <c r="P58" s="27"/>
      <c r="Q58" s="27"/>
      <c r="R58" s="63">
        <f>R57/(1+$C$15)^R55</f>
        <v>1152.0880947050305</v>
      </c>
    </row>
    <row r="59" spans="1:19" x14ac:dyDescent="0.25">
      <c r="B59" s="24" t="s">
        <v>136</v>
      </c>
      <c r="R59" s="64">
        <f>SUM(N56:R56)+R58</f>
        <v>1265.470489811845</v>
      </c>
    </row>
    <row r="60" spans="1:19" x14ac:dyDescent="0.25">
      <c r="B60" t="s">
        <v>138</v>
      </c>
      <c r="M60" s="68">
        <v>10.727</v>
      </c>
      <c r="R60">
        <v>10.727</v>
      </c>
      <c r="S60" s="79"/>
    </row>
    <row r="61" spans="1:19" x14ac:dyDescent="0.25">
      <c r="B61" s="27" t="s">
        <v>139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66">
        <f>WACC!C11</f>
        <v>34.624000000000002</v>
      </c>
      <c r="N61" s="27"/>
      <c r="O61" s="27"/>
      <c r="P61" s="27"/>
      <c r="Q61" s="27"/>
      <c r="R61" s="27">
        <f>WACC!C11</f>
        <v>34.624000000000002</v>
      </c>
    </row>
    <row r="62" spans="1:19" x14ac:dyDescent="0.25">
      <c r="B62" s="24" t="s">
        <v>140</v>
      </c>
      <c r="R62" s="64">
        <f>R59+R60-R61</f>
        <v>1241.5734898118451</v>
      </c>
    </row>
    <row r="63" spans="1:19" x14ac:dyDescent="0.25">
      <c r="B63" s="27" t="s">
        <v>141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80">
        <v>7972402501</v>
      </c>
      <c r="N63" s="27"/>
      <c r="O63" s="27"/>
      <c r="P63" s="27"/>
      <c r="Q63" s="27"/>
      <c r="R63" s="27"/>
    </row>
    <row r="64" spans="1:19" x14ac:dyDescent="0.25">
      <c r="B64" s="24" t="s">
        <v>115</v>
      </c>
      <c r="R64" s="64">
        <f>R62*10^9/M63</f>
        <v>155.73391956265522</v>
      </c>
    </row>
    <row r="65" spans="1:13" x14ac:dyDescent="0.25">
      <c r="M65" s="73"/>
    </row>
    <row r="66" spans="1:13" s="32" customFormat="1" x14ac:dyDescent="0.25">
      <c r="A66" s="30" t="s">
        <v>111</v>
      </c>
      <c r="B66" s="31" t="s">
        <v>173</v>
      </c>
      <c r="M66" s="67"/>
    </row>
    <row r="69" spans="1:13" x14ac:dyDescent="0.25">
      <c r="D69" t="s">
        <v>175</v>
      </c>
    </row>
    <row r="70" spans="1:13" x14ac:dyDescent="0.25">
      <c r="C70" s="74">
        <f>R64</f>
        <v>155.73391956265522</v>
      </c>
      <c r="D70" s="75">
        <v>0.02</v>
      </c>
      <c r="E70" s="59">
        <v>2.1999999999999999E-2</v>
      </c>
      <c r="F70" s="59">
        <f>+E70+0.002</f>
        <v>2.4E-2</v>
      </c>
      <c r="G70" s="59">
        <f t="shared" ref="G70:L70" si="34">+F70+0.002</f>
        <v>2.6000000000000002E-2</v>
      </c>
      <c r="H70" s="59">
        <f t="shared" si="34"/>
        <v>2.8000000000000004E-2</v>
      </c>
      <c r="I70" s="59">
        <f t="shared" si="34"/>
        <v>3.0000000000000006E-2</v>
      </c>
      <c r="J70" s="59">
        <f t="shared" si="34"/>
        <v>3.2000000000000008E-2</v>
      </c>
      <c r="K70" s="59">
        <f t="shared" si="34"/>
        <v>3.4000000000000009E-2</v>
      </c>
      <c r="L70" s="59">
        <f t="shared" si="34"/>
        <v>3.6000000000000011E-2</v>
      </c>
    </row>
    <row r="71" spans="1:13" x14ac:dyDescent="0.25">
      <c r="B71" t="s">
        <v>174</v>
      </c>
      <c r="C71" s="76">
        <v>6.5000000000000002E-2</v>
      </c>
      <c r="D71" s="45">
        <f t="dataTable" ref="D71:L78" dt2D="1" dtr="1" r1="C16" r2="C15"/>
        <v>73.914332314243495</v>
      </c>
      <c r="E71" s="45">
        <v>76.958782072323942</v>
      </c>
      <c r="F71" s="45">
        <v>80.300251318997582</v>
      </c>
      <c r="G71" s="45">
        <v>83.984435360201871</v>
      </c>
      <c r="H71" s="45">
        <v>88.066909568022837</v>
      </c>
      <c r="I71" s="45">
        <v>92.6159522567376</v>
      </c>
      <c r="J71" s="45">
        <v>97.716394059236009</v>
      </c>
      <c r="K71" s="45">
        <v>103.47495738463743</v>
      </c>
      <c r="L71" s="45">
        <v>110.02780530664596</v>
      </c>
    </row>
    <row r="72" spans="1:13" x14ac:dyDescent="0.25">
      <c r="C72" s="76">
        <f>+C71+0.25%</f>
        <v>6.7500000000000004E-2</v>
      </c>
      <c r="D72" s="45">
        <v>69.90975090928265</v>
      </c>
      <c r="E72" s="45">
        <v>72.613216265991142</v>
      </c>
      <c r="F72" s="45">
        <v>75.565276138259023</v>
      </c>
      <c r="G72" s="45">
        <v>78.801871901829841</v>
      </c>
      <c r="H72" s="45">
        <v>82.366224198420511</v>
      </c>
      <c r="I72" s="45">
        <v>86.310774073314178</v>
      </c>
      <c r="J72" s="45">
        <v>90.69978027213952</v>
      </c>
      <c r="K72" s="45">
        <v>95.612846912615652</v>
      </c>
      <c r="L72" s="45">
        <v>101.14979503124751</v>
      </c>
    </row>
    <row r="73" spans="1:13" x14ac:dyDescent="0.25">
      <c r="C73" s="76">
        <f t="shared" ref="C73:C78" si="35">+C72+0.25%</f>
        <v>7.0000000000000007E-2</v>
      </c>
      <c r="D73" s="45">
        <v>66.305842635868657</v>
      </c>
      <c r="E73" s="45">
        <v>68.720519073727019</v>
      </c>
      <c r="F73" s="45">
        <v>71.345167375746996</v>
      </c>
      <c r="G73" s="45">
        <v>74.208420068859695</v>
      </c>
      <c r="H73" s="45">
        <v>77.344363494649798</v>
      </c>
      <c r="I73" s="45">
        <v>80.79390126301891</v>
      </c>
      <c r="J73" s="45">
        <v>84.606548270163714</v>
      </c>
      <c r="K73" s="45">
        <v>88.842822722546828</v>
      </c>
      <c r="L73" s="45">
        <v>93.577482404622103</v>
      </c>
    </row>
    <row r="74" spans="1:13" x14ac:dyDescent="0.25">
      <c r="C74" s="76">
        <f t="shared" si="35"/>
        <v>7.2500000000000009E-2</v>
      </c>
      <c r="D74" s="45">
        <v>63.045365267710721</v>
      </c>
      <c r="E74" s="45">
        <v>65.213429643336525</v>
      </c>
      <c r="F74" s="45">
        <v>67.560303452003637</v>
      </c>
      <c r="G74" s="45">
        <v>70.109058878620615</v>
      </c>
      <c r="H74" s="45">
        <v>72.886915916618904</v>
      </c>
      <c r="I74" s="45">
        <v>75.926218322899373</v>
      </c>
      <c r="J74" s="45">
        <v>79.265698744614951</v>
      </c>
      <c r="K74" s="45">
        <v>82.952138171184103</v>
      </c>
      <c r="L74" s="45">
        <v>87.042570959569048</v>
      </c>
    </row>
    <row r="75" spans="1:13" x14ac:dyDescent="0.25">
      <c r="C75" s="76">
        <f t="shared" si="35"/>
        <v>7.5000000000000011E-2</v>
      </c>
      <c r="D75" s="45">
        <v>60.081484303402021</v>
      </c>
      <c r="E75" s="45">
        <v>62.037377896011819</v>
      </c>
      <c r="F75" s="45">
        <v>64.146674907649839</v>
      </c>
      <c r="G75" s="45">
        <v>66.42815943044198</v>
      </c>
      <c r="H75" s="45">
        <v>68.903812848790906</v>
      </c>
      <c r="I75" s="45">
        <v>71.599524348770856</v>
      </c>
      <c r="J75" s="45">
        <v>74.545999709214044</v>
      </c>
      <c r="K75" s="45">
        <v>77.779936080432165</v>
      </c>
      <c r="L75" s="45">
        <v>81.345558233313696</v>
      </c>
    </row>
    <row r="76" spans="1:13" x14ac:dyDescent="0.25">
      <c r="C76" s="76">
        <f t="shared" si="35"/>
        <v>7.7500000000000013E-2</v>
      </c>
      <c r="D76" s="45">
        <v>57.375510416745357</v>
      </c>
      <c r="E76" s="45">
        <v>59.147626243263694</v>
      </c>
      <c r="F76" s="45">
        <v>61.052236711017052</v>
      </c>
      <c r="G76" s="45">
        <v>63.104778088887166</v>
      </c>
      <c r="H76" s="45">
        <v>65.323181396282152</v>
      </c>
      <c r="I76" s="45">
        <v>67.728397613773566</v>
      </c>
      <c r="J76" s="45">
        <v>70.345061410824641</v>
      </c>
      <c r="K76" s="45">
        <v>73.202337970822967</v>
      </c>
      <c r="L76" s="45">
        <v>76.335014681182571</v>
      </c>
    </row>
    <row r="77" spans="1:13" x14ac:dyDescent="0.25">
      <c r="C77" s="76">
        <f t="shared" si="35"/>
        <v>8.0000000000000016E-2</v>
      </c>
      <c r="D77" s="45">
        <v>54.895202544512095</v>
      </c>
      <c r="E77" s="45">
        <v>56.507150515005904</v>
      </c>
      <c r="F77" s="45">
        <v>58.234237626249268</v>
      </c>
      <c r="G77" s="45">
        <v>60.089257116103255</v>
      </c>
      <c r="H77" s="45">
        <v>62.0869704128691</v>
      </c>
      <c r="I77" s="45">
        <v>64.244500773376217</v>
      </c>
      <c r="J77" s="45">
        <v>66.581825330592252</v>
      </c>
      <c r="K77" s="45">
        <v>69.122395501479232</v>
      </c>
      <c r="L77" s="45">
        <v>71.893926596992316</v>
      </c>
    </row>
    <row r="78" spans="1:13" x14ac:dyDescent="0.25">
      <c r="C78" s="76">
        <f t="shared" si="35"/>
        <v>8.2500000000000018E-2</v>
      </c>
      <c r="D78" s="45">
        <v>52.61347823315225</v>
      </c>
      <c r="E78" s="45">
        <v>54.085046277383668</v>
      </c>
      <c r="F78" s="45">
        <v>55.657234358827488</v>
      </c>
      <c r="G78" s="45">
        <v>57.340727791169989</v>
      </c>
      <c r="H78" s="45">
        <v>59.147780374510113</v>
      </c>
      <c r="I78" s="45">
        <v>61.092513154676148</v>
      </c>
      <c r="J78" s="45">
        <v>63.191284174855326</v>
      </c>
      <c r="K78" s="45">
        <v>65.463149712162675</v>
      </c>
      <c r="L78" s="45">
        <v>67.930444543001883</v>
      </c>
    </row>
  </sheetData>
  <dataValidations count="1">
    <dataValidation type="list" allowBlank="1" showInputMessage="1" showErrorMessage="1" sqref="C14" xr:uid="{0D3A4A5A-4F75-EB4C-B574-70E606F4DCA6}">
      <formula1>"1,2,3"</formula1>
    </dataValidation>
  </dataValidations>
  <printOptions horizontalCentered="1" verticalCentered="1"/>
  <pageMargins left="0.7" right="0.7" top="0.75" bottom="0.75" header="0.3" footer="0.3"/>
  <pageSetup paperSize="9" scale="6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D901-190B-0042-8281-A22E73208F13}">
  <dimension ref="A2:D30"/>
  <sheetViews>
    <sheetView showGridLines="0" topLeftCell="A11" zoomScale="107" workbookViewId="0">
      <selection activeCell="D18" sqref="D18"/>
    </sheetView>
  </sheetViews>
  <sheetFormatPr defaultColWidth="11.5546875" defaultRowHeight="13.2" x14ac:dyDescent="0.25"/>
  <cols>
    <col min="1" max="1" width="2.77734375" style="30" customWidth="1"/>
    <col min="4" max="4" width="13.109375" style="33" customWidth="1"/>
  </cols>
  <sheetData>
    <row r="2" spans="1:4" s="27" customFormat="1" ht="22.8" x14ac:dyDescent="0.4">
      <c r="A2" s="30"/>
      <c r="B2" s="29" t="s">
        <v>153</v>
      </c>
      <c r="D2" s="56"/>
    </row>
    <row r="3" spans="1:4" x14ac:dyDescent="0.25">
      <c r="B3" s="44" t="s">
        <v>168</v>
      </c>
    </row>
    <row r="4" spans="1:4" x14ac:dyDescent="0.25">
      <c r="B4" s="24" t="s">
        <v>154</v>
      </c>
    </row>
    <row r="5" spans="1:4" x14ac:dyDescent="0.25">
      <c r="B5" t="s">
        <v>155</v>
      </c>
    </row>
    <row r="6" spans="1:4" x14ac:dyDescent="0.25">
      <c r="B6" t="s">
        <v>156</v>
      </c>
    </row>
    <row r="9" spans="1:4" x14ac:dyDescent="0.25">
      <c r="B9" s="28" t="s">
        <v>169</v>
      </c>
      <c r="C9" s="55" t="s">
        <v>170</v>
      </c>
      <c r="D9" s="57" t="s">
        <v>171</v>
      </c>
    </row>
    <row r="10" spans="1:4" x14ac:dyDescent="0.25">
      <c r="B10" t="s">
        <v>158</v>
      </c>
      <c r="C10" s="77">
        <f>D28</f>
        <v>890.24639999999999</v>
      </c>
      <c r="D10" s="58" t="s">
        <v>179</v>
      </c>
    </row>
    <row r="11" spans="1:4" x14ac:dyDescent="0.25">
      <c r="B11" t="s">
        <v>159</v>
      </c>
      <c r="C11">
        <v>34.624000000000002</v>
      </c>
      <c r="D11" s="79" t="s">
        <v>183</v>
      </c>
    </row>
    <row r="12" spans="1:4" x14ac:dyDescent="0.25">
      <c r="B12" t="s">
        <v>157</v>
      </c>
      <c r="C12" s="77">
        <f>SUM(C10:C11)</f>
        <v>924.87040000000002</v>
      </c>
    </row>
    <row r="13" spans="1:4" x14ac:dyDescent="0.25">
      <c r="B13" t="s">
        <v>160</v>
      </c>
      <c r="C13" s="36">
        <f>C10/C12</f>
        <v>0.9625634034779359</v>
      </c>
      <c r="D13" s="58" t="s">
        <v>179</v>
      </c>
    </row>
    <row r="14" spans="1:4" x14ac:dyDescent="0.25">
      <c r="B14" t="s">
        <v>161</v>
      </c>
      <c r="C14" s="36">
        <f>1-C13</f>
        <v>3.7436596522064103E-2</v>
      </c>
      <c r="D14" s="58" t="s">
        <v>179</v>
      </c>
    </row>
    <row r="16" spans="1:4" x14ac:dyDescent="0.25">
      <c r="B16" s="27" t="s">
        <v>162</v>
      </c>
      <c r="C16" s="59">
        <f>C17+C18*C19</f>
        <v>7.1470000000000006E-2</v>
      </c>
      <c r="D16" s="56"/>
    </row>
    <row r="17" spans="2:4" x14ac:dyDescent="0.25">
      <c r="B17" s="21" t="s">
        <v>163</v>
      </c>
      <c r="C17" s="54">
        <v>4.471E-2</v>
      </c>
      <c r="D17" s="79" t="s">
        <v>185</v>
      </c>
    </row>
    <row r="18" spans="2:4" x14ac:dyDescent="0.25">
      <c r="B18" s="21" t="s">
        <v>164</v>
      </c>
      <c r="C18">
        <v>0.6</v>
      </c>
      <c r="D18" s="79" t="s">
        <v>184</v>
      </c>
    </row>
    <row r="19" spans="2:4" x14ac:dyDescent="0.25">
      <c r="B19" s="21" t="s">
        <v>165</v>
      </c>
      <c r="C19" s="54">
        <v>4.4600000000000001E-2</v>
      </c>
      <c r="D19" s="79" t="s">
        <v>172</v>
      </c>
    </row>
    <row r="21" spans="2:4" x14ac:dyDescent="0.25">
      <c r="B21" s="18" t="s">
        <v>166</v>
      </c>
      <c r="C21" s="54">
        <v>0.04</v>
      </c>
      <c r="D21" s="79" t="s">
        <v>183</v>
      </c>
    </row>
    <row r="22" spans="2:4" x14ac:dyDescent="0.25">
      <c r="B22" s="18" t="s">
        <v>167</v>
      </c>
      <c r="C22" s="36">
        <f>1-'DCF model'!N30</f>
        <v>0.79383056453915413</v>
      </c>
    </row>
    <row r="24" spans="2:4" x14ac:dyDescent="0.25">
      <c r="B24" s="53" t="s">
        <v>146</v>
      </c>
      <c r="C24" s="60">
        <f>C16*C13+C21*C22*C14</f>
        <v>6.9983139028629474E-2</v>
      </c>
    </row>
    <row r="27" spans="2:4" x14ac:dyDescent="0.25">
      <c r="B27" t="s">
        <v>158</v>
      </c>
    </row>
    <row r="28" spans="2:4" x14ac:dyDescent="0.25">
      <c r="B28" t="s">
        <v>180</v>
      </c>
      <c r="D28" s="78">
        <f>D30*D29</f>
        <v>890.24639999999999</v>
      </c>
    </row>
    <row r="29" spans="2:4" x14ac:dyDescent="0.25">
      <c r="B29" t="s">
        <v>181</v>
      </c>
      <c r="D29">
        <v>111.84</v>
      </c>
    </row>
    <row r="30" spans="2:4" x14ac:dyDescent="0.25">
      <c r="B30" t="s">
        <v>182</v>
      </c>
      <c r="D30">
        <v>7.96</v>
      </c>
    </row>
  </sheetData>
  <hyperlinks>
    <hyperlink ref="D18" r:id="rId1" xr:uid="{D6F8A69D-7582-4317-AF14-7C08A38FF7D5}"/>
    <hyperlink ref="D17" r:id="rId2" display="Google" xr:uid="{8C3F5BC9-F3E1-4F29-AA4E-D65917EF53BB}"/>
    <hyperlink ref="D19" r:id="rId3" xr:uid="{75F2797D-B6F1-4560-9A73-7DC68C330A09}"/>
    <hyperlink ref="D11" r:id="rId4" xr:uid="{EC0D544E-30A2-4F31-9720-3EA71E4F85ED}"/>
    <hyperlink ref="D21" r:id="rId5" xr:uid="{C3697FF8-CD77-42C2-AEC1-0AB49F50AE39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BADF-D4A1-1343-BD39-AA43289E85A8}">
  <dimension ref="A1:M56"/>
  <sheetViews>
    <sheetView showGridLines="0" workbookViewId="0">
      <selection activeCell="A24" sqref="A24"/>
    </sheetView>
  </sheetViews>
  <sheetFormatPr defaultColWidth="11.5546875" defaultRowHeight="13.2" x14ac:dyDescent="0.25"/>
  <cols>
    <col min="1" max="1" width="47.441406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177</v>
      </c>
      <c r="M4" s="1" t="s">
        <v>178</v>
      </c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2" t="s">
        <v>65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1" t="s">
        <v>66</v>
      </c>
      <c r="B7" s="15">
        <v>16.814</v>
      </c>
      <c r="C7" s="15">
        <v>15.08</v>
      </c>
      <c r="D7" s="15">
        <v>14.292999999999999</v>
      </c>
      <c r="E7" s="15">
        <v>10.523</v>
      </c>
      <c r="F7" s="15">
        <v>6.1609999999999996</v>
      </c>
      <c r="G7" s="15">
        <v>15.201000000000001</v>
      </c>
      <c r="H7" s="15">
        <v>13.706</v>
      </c>
      <c r="I7" s="15">
        <v>13.94</v>
      </c>
      <c r="J7" s="15">
        <v>11.292</v>
      </c>
      <c r="K7" s="15">
        <v>16.27</v>
      </c>
      <c r="L7" s="15">
        <v>20.16</v>
      </c>
      <c r="M7" s="15">
        <v>22.27</v>
      </c>
    </row>
    <row r="8" spans="1:13" x14ac:dyDescent="0.25">
      <c r="A8" s="13" t="s">
        <v>67</v>
      </c>
      <c r="B8" s="3">
        <v>9.173</v>
      </c>
      <c r="C8" s="3">
        <v>9.4540000000000006</v>
      </c>
      <c r="D8" s="3">
        <v>10.08</v>
      </c>
      <c r="E8" s="3">
        <v>10.529</v>
      </c>
      <c r="F8" s="3">
        <v>10.678000000000001</v>
      </c>
      <c r="G8" s="3">
        <v>10.987</v>
      </c>
      <c r="H8" s="3">
        <v>11.151999999999999</v>
      </c>
      <c r="I8" s="3">
        <v>10.657999999999999</v>
      </c>
      <c r="J8" s="3">
        <v>10.945</v>
      </c>
      <c r="K8" s="3">
        <v>11.853</v>
      </c>
      <c r="L8" s="3">
        <v>12.97</v>
      </c>
      <c r="M8" s="3">
        <v>14.2</v>
      </c>
    </row>
    <row r="9" spans="1:13" x14ac:dyDescent="0.25">
      <c r="A9" s="6" t="s">
        <v>68</v>
      </c>
      <c r="B9" s="15">
        <v>9.173</v>
      </c>
      <c r="C9" s="15">
        <v>9.4540000000000006</v>
      </c>
      <c r="D9" s="15">
        <v>10.08</v>
      </c>
      <c r="E9" s="15">
        <v>10.529</v>
      </c>
      <c r="F9" s="15">
        <v>10.678000000000001</v>
      </c>
      <c r="G9" s="15">
        <v>10.987</v>
      </c>
      <c r="H9" s="15">
        <v>11.151999999999999</v>
      </c>
      <c r="I9" s="15">
        <v>10.657999999999999</v>
      </c>
      <c r="J9" s="15">
        <v>10.945</v>
      </c>
      <c r="K9" s="15">
        <v>11.853</v>
      </c>
      <c r="L9" s="15">
        <v>12.97</v>
      </c>
      <c r="M9" s="15">
        <v>14.2</v>
      </c>
    </row>
    <row r="10" spans="1:13" x14ac:dyDescent="0.25">
      <c r="A10" s="13" t="s">
        <v>69</v>
      </c>
      <c r="B10" s="3">
        <v>-0.503</v>
      </c>
      <c r="C10" s="3">
        <v>-0.67200000000000004</v>
      </c>
      <c r="D10" s="3">
        <v>0.76100000000000001</v>
      </c>
      <c r="E10" s="3">
        <v>-0.30399999999999999</v>
      </c>
      <c r="F10" s="3">
        <v>-0.499</v>
      </c>
      <c r="G10" s="3">
        <v>0.32</v>
      </c>
      <c r="H10" s="3">
        <v>1.911</v>
      </c>
      <c r="I10" s="3">
        <v>-0.755</v>
      </c>
      <c r="J10" s="3">
        <v>0.44900000000000001</v>
      </c>
      <c r="K10" s="3">
        <v>-0.17499999999999999</v>
      </c>
      <c r="L10" s="3">
        <v>-0.64</v>
      </c>
      <c r="M10" s="3">
        <v>2.2799999999999998</v>
      </c>
    </row>
    <row r="11" spans="1:13" x14ac:dyDescent="0.25">
      <c r="A11" s="6" t="s">
        <v>70</v>
      </c>
      <c r="B11" s="16">
        <v>-0.503</v>
      </c>
      <c r="C11" s="16">
        <v>-0.67200000000000004</v>
      </c>
      <c r="D11" s="15">
        <v>0.76100000000000001</v>
      </c>
      <c r="E11" s="16">
        <v>-0.30399999999999999</v>
      </c>
      <c r="F11" s="16">
        <v>-0.499</v>
      </c>
      <c r="G11" s="15">
        <v>0.32</v>
      </c>
      <c r="H11" s="15">
        <v>1.911</v>
      </c>
      <c r="I11" s="16">
        <v>-0.755</v>
      </c>
      <c r="J11" s="15">
        <v>0.44900000000000001</v>
      </c>
      <c r="K11" s="16">
        <v>-0.17499999999999999</v>
      </c>
      <c r="L11" s="16">
        <v>-0.64</v>
      </c>
      <c r="M11" s="16">
        <v>2.2799999999999998</v>
      </c>
    </row>
    <row r="12" spans="1:13" x14ac:dyDescent="0.25">
      <c r="A12" s="22" t="s">
        <v>71</v>
      </c>
      <c r="B12" s="8">
        <v>0.78500000000000003</v>
      </c>
      <c r="C12" s="8">
        <v>1.41</v>
      </c>
      <c r="D12" s="8">
        <v>0.20599999999999999</v>
      </c>
      <c r="E12" s="8">
        <v>4.3460000000000001</v>
      </c>
      <c r="F12" s="8">
        <v>11.118</v>
      </c>
      <c r="G12" s="20">
        <v>-0.92600000000000005</v>
      </c>
      <c r="H12" s="8">
        <v>1.333</v>
      </c>
      <c r="I12" s="8">
        <v>6.9349999999999996</v>
      </c>
      <c r="J12" s="8">
        <v>3.6019999999999999</v>
      </c>
      <c r="K12" s="8">
        <v>5.835</v>
      </c>
      <c r="L12" s="8">
        <v>3.77</v>
      </c>
      <c r="M12" s="8">
        <v>2.06</v>
      </c>
    </row>
    <row r="13" spans="1:13" x14ac:dyDescent="0.25">
      <c r="A13" s="21" t="s">
        <v>72</v>
      </c>
      <c r="B13" s="15">
        <v>26.268999999999998</v>
      </c>
      <c r="C13" s="15">
        <v>25.271999999999998</v>
      </c>
      <c r="D13" s="15">
        <v>25.34</v>
      </c>
      <c r="E13" s="15">
        <v>25.094000000000001</v>
      </c>
      <c r="F13" s="15">
        <v>27.457999999999998</v>
      </c>
      <c r="G13" s="15">
        <v>25.582000000000001</v>
      </c>
      <c r="H13" s="15">
        <v>28.102</v>
      </c>
      <c r="I13" s="15">
        <v>30.777999999999999</v>
      </c>
      <c r="J13" s="15">
        <v>26.288</v>
      </c>
      <c r="K13" s="15">
        <v>33.783000000000001</v>
      </c>
      <c r="L13" s="15">
        <v>36.26</v>
      </c>
      <c r="M13" s="15">
        <v>40.81</v>
      </c>
    </row>
    <row r="14" spans="1:13" x14ac:dyDescent="0.25">
      <c r="A14" s="13" t="s">
        <v>73</v>
      </c>
      <c r="B14" s="3">
        <v>2.2949999999999999</v>
      </c>
      <c r="C14" s="3">
        <v>2.117</v>
      </c>
      <c r="D14" s="3">
        <v>6.19</v>
      </c>
      <c r="E14" s="3">
        <v>3.2429999999999999</v>
      </c>
      <c r="F14" s="3">
        <v>0.29499999999999998</v>
      </c>
      <c r="G14" s="3">
        <v>-0.32700000000000001</v>
      </c>
      <c r="H14" s="3">
        <v>7.9720000000000004</v>
      </c>
      <c r="I14" s="3">
        <v>-6.5970000000000004</v>
      </c>
      <c r="J14" s="3">
        <v>2.5529999999999999</v>
      </c>
      <c r="K14" s="3">
        <v>1.9430000000000001</v>
      </c>
      <c r="L14" s="3">
        <v>0.18</v>
      </c>
      <c r="M14" s="3">
        <v>0.75</v>
      </c>
    </row>
    <row r="15" spans="1:13" x14ac:dyDescent="0.25">
      <c r="A15" s="6" t="s">
        <v>74</v>
      </c>
      <c r="B15" s="16">
        <v>-0.56899999999999995</v>
      </c>
      <c r="C15" s="16">
        <v>-1.9E-2</v>
      </c>
      <c r="D15" s="16">
        <v>-0.40200000000000002</v>
      </c>
      <c r="E15" s="16">
        <v>-1.0740000000000001</v>
      </c>
      <c r="F15" s="16">
        <v>-0.36799999999999999</v>
      </c>
      <c r="G15" s="15">
        <v>0.154</v>
      </c>
      <c r="H15" s="16">
        <v>-1.0860000000000001</v>
      </c>
      <c r="I15" s="16">
        <v>-1.796</v>
      </c>
      <c r="J15" s="15">
        <v>0.24</v>
      </c>
      <c r="K15" s="16">
        <v>-0.79700000000000004</v>
      </c>
      <c r="L15" s="16">
        <v>-1.1100000000000001</v>
      </c>
      <c r="M15" s="16">
        <v>-1.1399999999999999</v>
      </c>
    </row>
    <row r="16" spans="1:13" x14ac:dyDescent="0.25">
      <c r="A16" s="7" t="s">
        <v>75</v>
      </c>
      <c r="B16" s="20">
        <v>-1.2290000000000001</v>
      </c>
      <c r="C16" s="20">
        <v>-0.70299999999999996</v>
      </c>
      <c r="D16" s="8">
        <v>1.0209999999999999</v>
      </c>
      <c r="E16" s="20">
        <v>-0.14000000000000001</v>
      </c>
      <c r="F16" s="20">
        <v>-1.3109999999999999</v>
      </c>
      <c r="G16" s="20">
        <v>-0.3</v>
      </c>
      <c r="H16" s="20">
        <v>-2.395</v>
      </c>
      <c r="I16" s="20">
        <v>-11.763999999999999</v>
      </c>
      <c r="J16" s="20">
        <v>-0.52800000000000002</v>
      </c>
      <c r="K16" s="8">
        <v>2.0169999999999999</v>
      </c>
      <c r="L16" s="8">
        <v>-2.76</v>
      </c>
      <c r="M16" s="8">
        <v>-1.44</v>
      </c>
    </row>
    <row r="17" spans="1:13" x14ac:dyDescent="0.25">
      <c r="A17" s="6" t="s">
        <v>76</v>
      </c>
      <c r="B17" s="15">
        <v>2.6779999999999999</v>
      </c>
      <c r="C17" s="15">
        <v>2.008</v>
      </c>
      <c r="D17" s="15">
        <v>3.9420000000000002</v>
      </c>
      <c r="E17" s="15">
        <v>4.0860000000000003</v>
      </c>
      <c r="F17" s="15">
        <v>1.831</v>
      </c>
      <c r="G17" s="16">
        <v>-0.27400000000000002</v>
      </c>
      <c r="H17" s="15">
        <v>6.9660000000000002</v>
      </c>
      <c r="I17" s="15">
        <v>5.52</v>
      </c>
      <c r="J17" s="16">
        <v>-1.425</v>
      </c>
      <c r="K17" s="15">
        <v>2.5150000000000001</v>
      </c>
      <c r="L17" s="15">
        <v>3.23</v>
      </c>
      <c r="M17" s="15">
        <v>1.61</v>
      </c>
    </row>
    <row r="18" spans="1:13" x14ac:dyDescent="0.25">
      <c r="A18" s="7" t="s">
        <v>77</v>
      </c>
      <c r="B18" s="8">
        <v>0.16600000000000001</v>
      </c>
      <c r="C18" s="20">
        <v>-0.47199999999999998</v>
      </c>
      <c r="D18" s="8">
        <v>0.49199999999999999</v>
      </c>
      <c r="E18" s="20">
        <v>-0.55700000000000005</v>
      </c>
      <c r="F18" s="20">
        <v>-0.04</v>
      </c>
      <c r="G18" s="20">
        <v>-9.2999999999999999E-2</v>
      </c>
      <c r="H18" s="20">
        <v>-0.13600000000000001</v>
      </c>
      <c r="I18" s="8">
        <v>3.9E-2</v>
      </c>
      <c r="J18" s="20">
        <v>-0.127</v>
      </c>
      <c r="K18" s="20">
        <v>-0.46800000000000003</v>
      </c>
      <c r="L18" s="20">
        <v>0.44</v>
      </c>
      <c r="M18" s="20">
        <v>0.11</v>
      </c>
    </row>
    <row r="19" spans="1:13" x14ac:dyDescent="0.25">
      <c r="A19" s="6" t="s">
        <v>78</v>
      </c>
      <c r="B19" s="15">
        <v>1.2490000000000001</v>
      </c>
      <c r="C19" s="15">
        <v>1.3029999999999999</v>
      </c>
      <c r="D19" s="15">
        <v>1.137</v>
      </c>
      <c r="E19" s="15">
        <v>0.92800000000000005</v>
      </c>
      <c r="F19" s="15">
        <v>0.183</v>
      </c>
      <c r="G19" s="15">
        <v>0.186</v>
      </c>
      <c r="H19" s="15">
        <v>4.6230000000000002</v>
      </c>
      <c r="I19" s="15">
        <v>1.4039999999999999</v>
      </c>
      <c r="J19" s="15">
        <v>4.3929999999999998</v>
      </c>
      <c r="K19" s="16">
        <v>-1.3240000000000001</v>
      </c>
      <c r="L19" s="16">
        <v>0.38</v>
      </c>
      <c r="M19" s="16">
        <v>1.61</v>
      </c>
    </row>
    <row r="20" spans="1:13" x14ac:dyDescent="0.25">
      <c r="A20" s="48" t="s">
        <v>79</v>
      </c>
      <c r="B20" s="49">
        <v>28.564</v>
      </c>
      <c r="C20" s="49">
        <v>27.388999999999999</v>
      </c>
      <c r="D20" s="49">
        <v>31.53</v>
      </c>
      <c r="E20" s="49">
        <v>28.337</v>
      </c>
      <c r="F20" s="49">
        <v>27.753</v>
      </c>
      <c r="G20" s="49">
        <v>25.254999999999999</v>
      </c>
      <c r="H20" s="49">
        <v>36.073999999999998</v>
      </c>
      <c r="I20" s="49">
        <v>24.181000000000001</v>
      </c>
      <c r="J20" s="49">
        <v>28.841000000000001</v>
      </c>
      <c r="K20" s="49">
        <v>35.725999999999999</v>
      </c>
      <c r="L20" s="49">
        <v>36.44</v>
      </c>
      <c r="M20" s="49">
        <v>41.57</v>
      </c>
    </row>
    <row r="21" spans="1:13" x14ac:dyDescent="0.25">
      <c r="A21" s="2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A22" s="22"/>
      <c r="B22" s="8">
        <f>B7+B8+B12+B11</f>
        <v>26.269000000000002</v>
      </c>
      <c r="C22" s="8">
        <f t="shared" ref="C22:M22" si="0">C7+C8+C12+C11</f>
        <v>25.271999999999998</v>
      </c>
      <c r="D22" s="8">
        <f t="shared" si="0"/>
        <v>25.339999999999996</v>
      </c>
      <c r="E22" s="8">
        <f t="shared" si="0"/>
        <v>25.094000000000001</v>
      </c>
      <c r="F22" s="8">
        <f t="shared" si="0"/>
        <v>27.458000000000002</v>
      </c>
      <c r="G22" s="8">
        <f t="shared" si="0"/>
        <v>25.582000000000004</v>
      </c>
      <c r="H22" s="8">
        <f t="shared" si="0"/>
        <v>28.101999999999997</v>
      </c>
      <c r="I22" s="8">
        <f t="shared" si="0"/>
        <v>30.777999999999999</v>
      </c>
      <c r="J22" s="8">
        <f t="shared" si="0"/>
        <v>26.288000000000004</v>
      </c>
      <c r="K22" s="8">
        <f t="shared" si="0"/>
        <v>33.783000000000001</v>
      </c>
      <c r="L22" s="8">
        <f t="shared" si="0"/>
        <v>36.260000000000005</v>
      </c>
      <c r="M22" s="8">
        <f t="shared" si="0"/>
        <v>40.81</v>
      </c>
    </row>
    <row r="23" spans="1:13" x14ac:dyDescent="0.25">
      <c r="A23" s="2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12" t="s">
        <v>80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3" t="s">
        <v>81</v>
      </c>
      <c r="B25" s="3">
        <v>-12.173999999999999</v>
      </c>
      <c r="C25" s="3">
        <v>-11.477</v>
      </c>
      <c r="D25" s="3">
        <v>-10.619</v>
      </c>
      <c r="E25" s="3">
        <v>-10.051</v>
      </c>
      <c r="F25" s="3">
        <v>-10.343999999999999</v>
      </c>
      <c r="G25" s="3">
        <v>-10.705</v>
      </c>
      <c r="H25" s="3">
        <v>-10.263999999999999</v>
      </c>
      <c r="I25" s="3">
        <v>-13.106</v>
      </c>
      <c r="J25" s="3">
        <v>-16.856999999999999</v>
      </c>
      <c r="K25" s="3">
        <v>-20.606000000000002</v>
      </c>
      <c r="L25" s="3">
        <v>-23.78</v>
      </c>
      <c r="M25" s="3">
        <v>-26.64</v>
      </c>
    </row>
    <row r="26" spans="1:13" x14ac:dyDescent="0.25">
      <c r="A26" s="6" t="s">
        <v>82</v>
      </c>
      <c r="B26" s="16">
        <v>-12.173999999999999</v>
      </c>
      <c r="C26" s="16">
        <v>-11.477</v>
      </c>
      <c r="D26" s="16">
        <v>-10.619</v>
      </c>
      <c r="E26" s="16">
        <v>-10.051</v>
      </c>
      <c r="F26" s="16">
        <v>-10.343999999999999</v>
      </c>
      <c r="G26" s="16">
        <v>-10.705</v>
      </c>
      <c r="H26" s="16">
        <v>-10.263999999999999</v>
      </c>
      <c r="I26" s="16">
        <v>-13.106</v>
      </c>
      <c r="J26" s="16">
        <v>-16.856999999999999</v>
      </c>
      <c r="K26" s="16">
        <v>-20.606000000000002</v>
      </c>
      <c r="L26" s="16">
        <v>-23.78</v>
      </c>
      <c r="M26" s="16">
        <v>-26.64</v>
      </c>
    </row>
    <row r="27" spans="1:13" x14ac:dyDescent="0.25">
      <c r="A27" s="22" t="s">
        <v>83</v>
      </c>
      <c r="B27" s="20">
        <v>-1.8440000000000001</v>
      </c>
      <c r="C27" s="20">
        <v>-1.3260000000000001</v>
      </c>
      <c r="D27" s="20">
        <v>-2.5529999999999999</v>
      </c>
      <c r="E27" s="20">
        <v>-0.38300000000000001</v>
      </c>
      <c r="F27" s="20">
        <v>-14.656000000000001</v>
      </c>
      <c r="G27" s="20">
        <v>-5.6000000000000001E-2</v>
      </c>
      <c r="H27" s="20">
        <v>-0.18</v>
      </c>
      <c r="I27" s="20">
        <v>-0.35899999999999999</v>
      </c>
      <c r="J27" s="20">
        <v>-1.5669999999999999</v>
      </c>
      <c r="K27" s="20">
        <v>-3.4710000000000001</v>
      </c>
      <c r="L27" s="20">
        <v>-1.9</v>
      </c>
      <c r="M27" s="20">
        <v>-0.05</v>
      </c>
    </row>
    <row r="28" spans="1:13" x14ac:dyDescent="0.25">
      <c r="A28" s="21" t="s">
        <v>84</v>
      </c>
      <c r="B28" s="15">
        <v>1.2410000000000001</v>
      </c>
      <c r="C28" s="15">
        <v>0.88100000000000001</v>
      </c>
      <c r="D28" s="15">
        <v>1.1180000000000001</v>
      </c>
      <c r="E28" s="15">
        <v>1.4239999999999999</v>
      </c>
      <c r="F28" s="15">
        <v>1.395</v>
      </c>
      <c r="G28" s="15">
        <v>1.1539999999999999</v>
      </c>
      <c r="H28" s="15">
        <v>0.27100000000000002</v>
      </c>
      <c r="I28" s="15">
        <v>8.3290000000000006</v>
      </c>
      <c r="J28" s="15">
        <v>0.17</v>
      </c>
      <c r="K28" s="15">
        <v>0.38500000000000001</v>
      </c>
      <c r="L28" s="15">
        <v>0.43</v>
      </c>
      <c r="M28" s="15">
        <v>0.11</v>
      </c>
    </row>
    <row r="29" spans="1:13" x14ac:dyDescent="0.25">
      <c r="A29" s="13" t="s">
        <v>85</v>
      </c>
      <c r="B29" s="3">
        <v>0</v>
      </c>
      <c r="C29" s="3">
        <v>0</v>
      </c>
      <c r="D29" s="3">
        <v>-1.901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4.08</v>
      </c>
      <c r="M29" s="3">
        <v>0.93</v>
      </c>
    </row>
    <row r="30" spans="1:13" x14ac:dyDescent="0.25">
      <c r="A30" s="6" t="s">
        <v>86</v>
      </c>
      <c r="B30" s="15">
        <v>0</v>
      </c>
      <c r="C30" s="15">
        <v>0</v>
      </c>
      <c r="D30" s="15">
        <v>1.901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/>
      <c r="M30" s="15"/>
    </row>
    <row r="31" spans="1:13" x14ac:dyDescent="0.25">
      <c r="A31" s="7" t="s">
        <v>87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/>
      <c r="M31" s="8"/>
    </row>
    <row r="32" spans="1:13" x14ac:dyDescent="0.25">
      <c r="A32" s="4" t="s">
        <v>71</v>
      </c>
      <c r="B32" s="5">
        <v>-0.192</v>
      </c>
      <c r="C32" s="5">
        <v>-7.9000000000000001E-2</v>
      </c>
      <c r="D32" s="5">
        <v>-0.122</v>
      </c>
      <c r="E32" s="5">
        <v>-5.8000000000000003E-2</v>
      </c>
      <c r="F32" s="5">
        <v>-0.43099999999999999</v>
      </c>
      <c r="G32" s="5">
        <v>0.47899999999999998</v>
      </c>
      <c r="H32" s="5">
        <v>-1.746</v>
      </c>
      <c r="I32" s="5">
        <v>-0.879</v>
      </c>
      <c r="J32" s="5">
        <v>-0.29499999999999998</v>
      </c>
      <c r="K32" s="5">
        <v>-1.0569999999999999</v>
      </c>
      <c r="L32" s="5">
        <v>-0.21</v>
      </c>
      <c r="M32" s="5">
        <v>-0.69</v>
      </c>
    </row>
    <row r="33" spans="1:13" x14ac:dyDescent="0.25">
      <c r="A33" s="7" t="s">
        <v>88</v>
      </c>
      <c r="B33" s="20">
        <v>-0.192</v>
      </c>
      <c r="C33" s="20">
        <v>-7.9000000000000001E-2</v>
      </c>
      <c r="D33" s="20">
        <v>-0.122</v>
      </c>
      <c r="E33" s="20">
        <v>-5.8000000000000003E-2</v>
      </c>
      <c r="F33" s="20">
        <v>-0.43099999999999999</v>
      </c>
      <c r="G33" s="8">
        <v>0</v>
      </c>
      <c r="H33" s="20">
        <v>-1.8480000000000001</v>
      </c>
      <c r="I33" s="20">
        <v>-0.879</v>
      </c>
      <c r="J33" s="20">
        <v>-0.29499999999999998</v>
      </c>
      <c r="K33" s="20">
        <v>-1.0569999999999999</v>
      </c>
      <c r="L33" s="20"/>
      <c r="M33" s="20"/>
    </row>
    <row r="34" spans="1:13" x14ac:dyDescent="0.25">
      <c r="A34" s="6" t="s">
        <v>89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0.47899999999999998</v>
      </c>
      <c r="H34" s="15">
        <v>0.10199999999999999</v>
      </c>
      <c r="I34" s="15">
        <v>0</v>
      </c>
      <c r="J34" s="15">
        <v>0</v>
      </c>
      <c r="K34" s="15">
        <v>0</v>
      </c>
      <c r="L34" s="15"/>
      <c r="M34" s="15"/>
    </row>
    <row r="35" spans="1:13" x14ac:dyDescent="0.25">
      <c r="A35" s="22" t="s">
        <v>90</v>
      </c>
      <c r="B35" s="20">
        <v>-12.968999999999999</v>
      </c>
      <c r="C35" s="20">
        <v>-12.000999999999999</v>
      </c>
      <c r="D35" s="20">
        <v>-14.077</v>
      </c>
      <c r="E35" s="20">
        <v>-9.0679999999999996</v>
      </c>
      <c r="F35" s="20">
        <v>-24.036000000000001</v>
      </c>
      <c r="G35" s="20">
        <v>-9.1280000000000001</v>
      </c>
      <c r="H35" s="20">
        <v>-11.919</v>
      </c>
      <c r="I35" s="20">
        <v>-6.0149999999999997</v>
      </c>
      <c r="J35" s="20">
        <v>-18.548999999999999</v>
      </c>
      <c r="K35" s="20">
        <v>-24.748999999999999</v>
      </c>
      <c r="L35" s="20">
        <v>-21.38</v>
      </c>
      <c r="M35" s="20">
        <v>-26.35</v>
      </c>
    </row>
    <row r="36" spans="1:13" x14ac:dyDescent="0.25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x14ac:dyDescent="0.25">
      <c r="A37" s="13" t="s">
        <v>92</v>
      </c>
      <c r="B37" s="3">
        <v>-6.1849999999999996</v>
      </c>
      <c r="C37" s="3">
        <v>-6.2939999999999996</v>
      </c>
      <c r="D37" s="3">
        <v>-6.2160000000000002</v>
      </c>
      <c r="E37" s="3">
        <v>-6.1239999999999997</v>
      </c>
      <c r="F37" s="3">
        <v>-6.1020000000000003</v>
      </c>
      <c r="G37" s="3">
        <v>-6.048</v>
      </c>
      <c r="H37" s="3">
        <v>-6.1159999999999997</v>
      </c>
      <c r="I37" s="3">
        <v>-6.1520000000000001</v>
      </c>
      <c r="J37" s="3">
        <v>-6.1139999999999999</v>
      </c>
      <c r="K37" s="3">
        <v>-6.14</v>
      </c>
      <c r="L37" s="3">
        <v>-6.69</v>
      </c>
      <c r="M37" s="3">
        <v>-7.51</v>
      </c>
    </row>
    <row r="38" spans="1:13" x14ac:dyDescent="0.25">
      <c r="A38" s="6" t="s">
        <v>93</v>
      </c>
      <c r="B38" s="16">
        <v>-6.1849999999999996</v>
      </c>
      <c r="C38" s="16">
        <v>-6.2939999999999996</v>
      </c>
      <c r="D38" s="16">
        <v>-6.2160000000000002</v>
      </c>
      <c r="E38" s="16">
        <v>-6.1239999999999997</v>
      </c>
      <c r="F38" s="16">
        <v>-6.1020000000000003</v>
      </c>
      <c r="G38" s="16">
        <v>-6.048</v>
      </c>
      <c r="H38" s="16">
        <v>-6.1159999999999997</v>
      </c>
      <c r="I38" s="16">
        <v>-6.1520000000000001</v>
      </c>
      <c r="J38" s="16">
        <v>-6.1139999999999999</v>
      </c>
      <c r="K38" s="16">
        <v>-6.14</v>
      </c>
      <c r="L38" s="16">
        <v>-6.69</v>
      </c>
      <c r="M38" s="16">
        <v>-7.51</v>
      </c>
    </row>
    <row r="39" spans="1:13" x14ac:dyDescent="0.25">
      <c r="A39" s="13" t="s">
        <v>94</v>
      </c>
      <c r="B39" s="3">
        <v>-1.0149999999999999</v>
      </c>
      <c r="C39" s="3">
        <v>-4.1120000000000001</v>
      </c>
      <c r="D39" s="3">
        <v>-8.298</v>
      </c>
      <c r="E39" s="3">
        <v>-8.2959999999999994</v>
      </c>
      <c r="F39" s="3">
        <v>-7.41</v>
      </c>
      <c r="G39" s="3">
        <v>-5.7169999999999996</v>
      </c>
      <c r="H39" s="3">
        <v>-2.625</v>
      </c>
      <c r="I39" s="3">
        <v>-9.7870000000000008</v>
      </c>
      <c r="J39" s="3">
        <v>-9.92</v>
      </c>
      <c r="K39" s="3">
        <v>-2.7789999999999999</v>
      </c>
      <c r="L39" s="3">
        <v>-4.49</v>
      </c>
      <c r="M39" s="3">
        <v>-8.09</v>
      </c>
    </row>
    <row r="40" spans="1:13" x14ac:dyDescent="0.25">
      <c r="A40" s="6" t="s">
        <v>95</v>
      </c>
      <c r="B40" s="16">
        <v>-1.0149999999999999</v>
      </c>
      <c r="C40" s="16">
        <v>-4.1120000000000001</v>
      </c>
      <c r="D40" s="16">
        <v>-8.298</v>
      </c>
      <c r="E40" s="16">
        <v>-8.2959999999999994</v>
      </c>
      <c r="F40" s="16">
        <v>-7.41</v>
      </c>
      <c r="G40" s="16">
        <v>-5.7169999999999996</v>
      </c>
      <c r="H40" s="16">
        <v>-2.625</v>
      </c>
      <c r="I40" s="16">
        <v>-9.7870000000000008</v>
      </c>
      <c r="J40" s="16">
        <v>-9.92</v>
      </c>
      <c r="K40" s="16">
        <v>-2.7789999999999999</v>
      </c>
      <c r="L40" s="16">
        <v>-4.49</v>
      </c>
      <c r="M40" s="16">
        <v>-8.09</v>
      </c>
    </row>
    <row r="41" spans="1:13" x14ac:dyDescent="0.25">
      <c r="A41" s="13" t="s">
        <v>96</v>
      </c>
      <c r="B41" s="3">
        <v>-5.0179999999999998</v>
      </c>
      <c r="C41" s="3">
        <v>-3.1579999999999999</v>
      </c>
      <c r="D41" s="3">
        <v>-3.5910000000000002</v>
      </c>
      <c r="E41" s="3">
        <v>-1.4370000000000001</v>
      </c>
      <c r="F41" s="3">
        <v>12.035</v>
      </c>
      <c r="G41" s="3">
        <v>-1.071</v>
      </c>
      <c r="H41" s="3">
        <v>-5.7060000000000004</v>
      </c>
      <c r="I41" s="3">
        <v>-5.8719999999999999</v>
      </c>
      <c r="J41" s="3">
        <v>2.3180000000000001</v>
      </c>
      <c r="K41" s="3">
        <v>1.262</v>
      </c>
      <c r="L41" s="3">
        <v>-1.26</v>
      </c>
      <c r="M41" s="3">
        <v>4.88</v>
      </c>
    </row>
    <row r="42" spans="1:13" x14ac:dyDescent="0.25">
      <c r="A42" s="6" t="s">
        <v>97</v>
      </c>
      <c r="B42" s="16">
        <v>-6.2880000000000003</v>
      </c>
      <c r="C42" s="15">
        <v>1.2350000000000001</v>
      </c>
      <c r="D42" s="16">
        <v>-1.673</v>
      </c>
      <c r="E42" s="15">
        <v>4.1479999999999997</v>
      </c>
      <c r="F42" s="16">
        <v>-5.2999999999999999E-2</v>
      </c>
      <c r="G42" s="16">
        <v>-4.6559999999999997</v>
      </c>
      <c r="H42" s="16">
        <v>-0.32400000000000001</v>
      </c>
      <c r="I42" s="15">
        <v>0.193</v>
      </c>
      <c r="J42" s="16">
        <v>-3.4000000000000002E-2</v>
      </c>
      <c r="K42" s="15">
        <v>0.51200000000000001</v>
      </c>
      <c r="L42" s="15">
        <v>2.21</v>
      </c>
      <c r="M42" s="15">
        <v>3.52</v>
      </c>
    </row>
    <row r="43" spans="1:13" x14ac:dyDescent="0.25">
      <c r="A43" s="17" t="s">
        <v>98</v>
      </c>
      <c r="B43" s="3">
        <v>1.27</v>
      </c>
      <c r="C43" s="3">
        <v>-4.3929999999999998</v>
      </c>
      <c r="D43" s="3">
        <v>-1.9179999999999999</v>
      </c>
      <c r="E43" s="3">
        <v>-5.585</v>
      </c>
      <c r="F43" s="3">
        <v>12.087999999999999</v>
      </c>
      <c r="G43" s="3">
        <v>3.585</v>
      </c>
      <c r="H43" s="3">
        <v>-5.3819999999999997</v>
      </c>
      <c r="I43" s="3">
        <v>-6.0650000000000004</v>
      </c>
      <c r="J43" s="3">
        <v>2.3519999999999999</v>
      </c>
      <c r="K43" s="3">
        <v>0.75</v>
      </c>
      <c r="L43" s="3">
        <v>-3.47</v>
      </c>
      <c r="M43" s="3">
        <v>1.36</v>
      </c>
    </row>
    <row r="44" spans="1:13" x14ac:dyDescent="0.25">
      <c r="A44" s="10" t="s">
        <v>99</v>
      </c>
      <c r="B44" s="15">
        <v>5.1740000000000004</v>
      </c>
      <c r="C44" s="15">
        <v>3.9E-2</v>
      </c>
      <c r="D44" s="15">
        <v>0.13700000000000001</v>
      </c>
      <c r="E44" s="15">
        <v>7.476</v>
      </c>
      <c r="F44" s="15">
        <v>15.872</v>
      </c>
      <c r="G44" s="15">
        <v>5.492</v>
      </c>
      <c r="H44" s="15">
        <v>0</v>
      </c>
      <c r="I44" s="15">
        <v>6.9450000000000003</v>
      </c>
      <c r="J44" s="15">
        <v>5.0410000000000004</v>
      </c>
      <c r="K44" s="15">
        <v>4.9669999999999996</v>
      </c>
      <c r="L44" s="15">
        <v>0</v>
      </c>
      <c r="M44" s="15">
        <v>3.98</v>
      </c>
    </row>
    <row r="45" spans="1:13" x14ac:dyDescent="0.25">
      <c r="A45" s="11" t="s">
        <v>100</v>
      </c>
      <c r="B45" s="20">
        <v>-3.9039999999999999</v>
      </c>
      <c r="C45" s="20">
        <v>-4.4320000000000004</v>
      </c>
      <c r="D45" s="20">
        <v>-2.0550000000000002</v>
      </c>
      <c r="E45" s="20">
        <v>-13.061</v>
      </c>
      <c r="F45" s="20">
        <v>-3.7839999999999998</v>
      </c>
      <c r="G45" s="20">
        <v>-1.907</v>
      </c>
      <c r="H45" s="20">
        <v>-5.3819999999999997</v>
      </c>
      <c r="I45" s="20">
        <v>-13.01</v>
      </c>
      <c r="J45" s="20">
        <v>-2.6890000000000001</v>
      </c>
      <c r="K45" s="20">
        <v>-4.2169999999999996</v>
      </c>
      <c r="L45" s="20">
        <v>-3.47</v>
      </c>
      <c r="M45" s="20">
        <v>-2.63</v>
      </c>
    </row>
    <row r="46" spans="1:13" x14ac:dyDescent="0.25">
      <c r="A46" s="4" t="s">
        <v>71</v>
      </c>
      <c r="B46" s="5">
        <v>-1.0089999999999999</v>
      </c>
      <c r="C46" s="5">
        <v>-1.232</v>
      </c>
      <c r="D46" s="5">
        <v>-0.73399999999999999</v>
      </c>
      <c r="E46" s="5">
        <v>-4.01</v>
      </c>
      <c r="F46" s="5">
        <v>-1.06</v>
      </c>
      <c r="G46" s="5">
        <v>-1.4630000000000001</v>
      </c>
      <c r="H46" s="5">
        <v>-1.67</v>
      </c>
      <c r="I46" s="5">
        <v>-1.0169999999999999</v>
      </c>
      <c r="J46" s="5">
        <v>-2.496</v>
      </c>
      <c r="K46" s="5">
        <v>-2.2949999999999999</v>
      </c>
      <c r="L46" s="5">
        <v>-2.38</v>
      </c>
      <c r="M46" s="5">
        <v>-2.84</v>
      </c>
    </row>
    <row r="47" spans="1:13" x14ac:dyDescent="0.25">
      <c r="A47" s="7" t="s">
        <v>88</v>
      </c>
      <c r="B47" s="20">
        <v>-1.0089999999999999</v>
      </c>
      <c r="C47" s="20">
        <v>-1.232</v>
      </c>
      <c r="D47" s="20">
        <v>-0.73399999999999999</v>
      </c>
      <c r="E47" s="20">
        <v>-4.01</v>
      </c>
      <c r="F47" s="20">
        <v>-1.06</v>
      </c>
      <c r="G47" s="20">
        <v>-1.4630000000000001</v>
      </c>
      <c r="H47" s="20">
        <v>-1.67</v>
      </c>
      <c r="I47" s="20">
        <v>-4.2560000000000002</v>
      </c>
      <c r="J47" s="20">
        <v>-2.5619999999999998</v>
      </c>
      <c r="K47" s="20">
        <v>-3.0110000000000001</v>
      </c>
      <c r="L47" s="20"/>
      <c r="M47" s="20"/>
    </row>
    <row r="48" spans="1:13" x14ac:dyDescent="0.25">
      <c r="A48" s="6" t="s">
        <v>89</v>
      </c>
      <c r="B48" s="18"/>
      <c r="C48" s="18"/>
      <c r="D48" s="18"/>
      <c r="E48" s="18"/>
      <c r="F48" s="18"/>
      <c r="G48" s="18"/>
      <c r="H48" s="18"/>
      <c r="I48" s="15">
        <v>3.2389999999999999</v>
      </c>
      <c r="J48" s="15">
        <v>6.6000000000000003E-2</v>
      </c>
      <c r="K48" s="15">
        <v>0.71599999999999997</v>
      </c>
      <c r="L48" s="15"/>
      <c r="M48" s="15"/>
    </row>
    <row r="49" spans="1:13" x14ac:dyDescent="0.25">
      <c r="A49" s="22" t="s">
        <v>101</v>
      </c>
      <c r="B49" s="20">
        <v>-13.227</v>
      </c>
      <c r="C49" s="20">
        <v>-14.795999999999999</v>
      </c>
      <c r="D49" s="20">
        <v>-18.838999999999999</v>
      </c>
      <c r="E49" s="20">
        <v>-19.867000000000001</v>
      </c>
      <c r="F49" s="20">
        <v>-2.5369999999999999</v>
      </c>
      <c r="G49" s="20">
        <v>-14.298999999999999</v>
      </c>
      <c r="H49" s="20">
        <v>-16.117000000000001</v>
      </c>
      <c r="I49" s="20">
        <v>-22.827999999999999</v>
      </c>
      <c r="J49" s="20">
        <v>-16.212</v>
      </c>
      <c r="K49" s="20">
        <v>-9.952</v>
      </c>
      <c r="L49" s="20">
        <v>-14.82</v>
      </c>
      <c r="M49" s="20">
        <v>-13.55</v>
      </c>
    </row>
    <row r="50" spans="1:13" x14ac:dyDescent="0.25">
      <c r="A50" s="12" t="s">
        <v>102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x14ac:dyDescent="0.25">
      <c r="A51" s="22" t="s">
        <v>103</v>
      </c>
      <c r="B51" s="20">
        <v>-0.51400000000000001</v>
      </c>
      <c r="C51" s="20">
        <v>-1.022</v>
      </c>
      <c r="D51" s="20">
        <v>-0.45200000000000001</v>
      </c>
      <c r="E51" s="8">
        <v>0.48699999999999999</v>
      </c>
      <c r="F51" s="20">
        <v>-0.438</v>
      </c>
      <c r="G51" s="20">
        <v>-6.9000000000000006E-2</v>
      </c>
      <c r="H51" s="8">
        <v>0.23499999999999999</v>
      </c>
      <c r="I51" s="20">
        <v>-0.14000000000000001</v>
      </c>
      <c r="J51" s="20">
        <v>-7.2999999999999995E-2</v>
      </c>
      <c r="K51" s="8">
        <v>6.9000000000000006E-2</v>
      </c>
      <c r="L51" s="8">
        <v>-0.64</v>
      </c>
      <c r="M51" s="8">
        <v>0.12</v>
      </c>
    </row>
    <row r="52" spans="1:13" x14ac:dyDescent="0.25">
      <c r="A52" s="21" t="s">
        <v>104</v>
      </c>
      <c r="B52" s="15">
        <v>1.8540000000000001</v>
      </c>
      <c r="C52" s="16">
        <v>-0.43</v>
      </c>
      <c r="D52" s="16">
        <v>-1.8380000000000001</v>
      </c>
      <c r="E52" s="16">
        <v>-0.111</v>
      </c>
      <c r="F52" s="15">
        <v>0.74199999999999999</v>
      </c>
      <c r="G52" s="15">
        <v>1.7589999999999999</v>
      </c>
      <c r="H52" s="15">
        <v>8.2729999999999997</v>
      </c>
      <c r="I52" s="16">
        <v>-4.8019999999999996</v>
      </c>
      <c r="J52" s="16">
        <v>-5.9930000000000003</v>
      </c>
      <c r="K52" s="15">
        <v>1.0940000000000001</v>
      </c>
      <c r="L52" s="15">
        <v>-0.4</v>
      </c>
      <c r="M52" s="15">
        <v>1.79</v>
      </c>
    </row>
    <row r="53" spans="1:13" x14ac:dyDescent="0.25">
      <c r="A53" s="13" t="s">
        <v>105</v>
      </c>
      <c r="B53" s="3">
        <v>16.39</v>
      </c>
      <c r="C53" s="3">
        <v>15.912000000000001</v>
      </c>
      <c r="D53" s="3">
        <v>20.911000000000001</v>
      </c>
      <c r="E53" s="3">
        <v>18.286000000000001</v>
      </c>
      <c r="F53" s="3">
        <v>17.408999999999999</v>
      </c>
      <c r="G53" s="3">
        <v>14.55</v>
      </c>
      <c r="H53" s="3">
        <v>25.81</v>
      </c>
      <c r="I53" s="3">
        <v>11.074999999999999</v>
      </c>
      <c r="J53" s="3">
        <v>11.984</v>
      </c>
      <c r="K53" s="3">
        <v>15.12</v>
      </c>
      <c r="L53" s="3">
        <v>12.66</v>
      </c>
      <c r="M53" s="3">
        <v>14.92</v>
      </c>
    </row>
    <row r="54" spans="1:13" x14ac:dyDescent="0.25">
      <c r="A54" s="6" t="s">
        <v>106</v>
      </c>
      <c r="B54" s="15">
        <v>1.684652</v>
      </c>
      <c r="C54" s="15">
        <v>1.648739</v>
      </c>
      <c r="D54" s="15">
        <v>2.2398220000000002</v>
      </c>
      <c r="E54" s="15">
        <v>2.025026</v>
      </c>
      <c r="F54" s="15">
        <v>1.970456</v>
      </c>
      <c r="G54" s="15">
        <v>1.6910719999999999</v>
      </c>
      <c r="H54" s="15">
        <v>3.0218910000000001</v>
      </c>
      <c r="I54" s="15">
        <v>1.316101</v>
      </c>
      <c r="J54" s="15">
        <v>1.461106</v>
      </c>
      <c r="K54" s="15">
        <v>1.8648229999999999</v>
      </c>
      <c r="L54" s="15">
        <v>1.57</v>
      </c>
      <c r="M54" s="15">
        <v>1.86</v>
      </c>
    </row>
    <row r="55" spans="1:13" x14ac:dyDescent="0.25">
      <c r="A55" s="7" t="s">
        <v>107</v>
      </c>
      <c r="B55" s="8">
        <v>5.9472370000000003</v>
      </c>
      <c r="C55" s="8">
        <v>7.4536210000000001</v>
      </c>
      <c r="D55" s="8">
        <v>10.068135</v>
      </c>
      <c r="E55" s="8">
        <v>5.6989520000000002</v>
      </c>
      <c r="F55" s="8">
        <v>6.1686059999999996</v>
      </c>
      <c r="G55" s="8">
        <v>4.4311480000000003</v>
      </c>
      <c r="H55" s="8">
        <v>6.4529030000000001</v>
      </c>
      <c r="I55" s="8">
        <v>2.824052</v>
      </c>
      <c r="J55" s="8">
        <v>3.0467240000000002</v>
      </c>
      <c r="K55" s="8">
        <v>3.3854609999999998</v>
      </c>
      <c r="L55" s="8">
        <v>1.56</v>
      </c>
      <c r="M55" s="8">
        <v>1.6</v>
      </c>
    </row>
    <row r="56" spans="1:13" x14ac:dyDescent="0.25">
      <c r="A56" s="2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1EEE-EB2C-482F-B3A6-79A683F70046}">
  <sheetPr>
    <outlinePr summaryBelow="0" summaryRight="0"/>
  </sheetPr>
  <dimension ref="A1:M62"/>
  <sheetViews>
    <sheetView showGridLines="0" topLeftCell="A26" workbookViewId="0">
      <selection activeCell="N38" sqref="N38"/>
    </sheetView>
  </sheetViews>
  <sheetFormatPr defaultColWidth="9.109375" defaultRowHeight="15" customHeight="1" outlineLevelRow="3" x14ac:dyDescent="0.25"/>
  <cols>
    <col min="1" max="1" width="49.6640625" customWidth="1"/>
    <col min="2" max="11" width="8.44140625" customWidth="1"/>
    <col min="12" max="12" width="11.109375" customWidth="1"/>
    <col min="13" max="13" width="8.44140625" customWidth="1"/>
    <col min="14" max="14" width="22.109375" customWidth="1"/>
  </cols>
  <sheetData>
    <row r="1" spans="1:13" ht="15" customHeight="1" x14ac:dyDescent="0.25">
      <c r="A1" s="24" t="s">
        <v>63</v>
      </c>
    </row>
    <row r="2" spans="1:13" ht="15" customHeight="1" x14ac:dyDescent="0.25">
      <c r="A2" s="26" t="s">
        <v>64</v>
      </c>
    </row>
    <row r="3" spans="1:13" ht="1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1:13" ht="15" customHeight="1" x14ac:dyDescent="0.2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 x14ac:dyDescent="0.25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 x14ac:dyDescent="0.25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 x14ac:dyDescent="0.25">
      <c r="A8" s="1"/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177</v>
      </c>
      <c r="M8" s="1" t="s">
        <v>178</v>
      </c>
    </row>
    <row r="9" spans="1:13" ht="1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 x14ac:dyDescent="0.25">
      <c r="A10" s="2" t="s">
        <v>13</v>
      </c>
      <c r="B10" s="3">
        <v>485.65100000000001</v>
      </c>
      <c r="C10" s="3">
        <v>482.13</v>
      </c>
      <c r="D10" s="3">
        <v>485.14400000000001</v>
      </c>
      <c r="E10" s="3">
        <v>499.90899999999999</v>
      </c>
      <c r="F10" s="3">
        <v>514.40499999999997</v>
      </c>
      <c r="G10" s="3">
        <v>523.96400000000006</v>
      </c>
      <c r="H10" s="3">
        <v>559.15099999999995</v>
      </c>
      <c r="I10" s="3">
        <v>572.75400000000002</v>
      </c>
      <c r="J10" s="3">
        <v>611.28899999999999</v>
      </c>
      <c r="K10" s="3">
        <v>648.125</v>
      </c>
      <c r="L10" s="3">
        <v>680.99</v>
      </c>
      <c r="M10" s="3">
        <v>713.16</v>
      </c>
    </row>
    <row r="11" spans="1:13" ht="15" customHeight="1" outlineLevel="1" x14ac:dyDescent="0.25">
      <c r="A11" s="4" t="s">
        <v>14</v>
      </c>
      <c r="B11" s="5">
        <v>365.08600000000001</v>
      </c>
      <c r="C11" s="5">
        <v>360.98399999999998</v>
      </c>
      <c r="D11" s="5">
        <v>361.25599999999997</v>
      </c>
      <c r="E11" s="5">
        <v>373.39600000000002</v>
      </c>
      <c r="F11" s="5">
        <v>385.30099999999999</v>
      </c>
      <c r="G11" s="5">
        <v>394.60500000000002</v>
      </c>
      <c r="H11" s="5">
        <v>420.315</v>
      </c>
      <c r="I11" s="5">
        <v>429</v>
      </c>
      <c r="J11" s="5">
        <v>463.721</v>
      </c>
      <c r="K11" s="5">
        <v>490.142</v>
      </c>
      <c r="L11" s="5">
        <v>524.73</v>
      </c>
      <c r="M11" s="5">
        <v>549.6</v>
      </c>
    </row>
    <row r="12" spans="1:13" ht="15" customHeight="1" outlineLevel="2" x14ac:dyDescent="0.25">
      <c r="A12" s="7" t="s">
        <v>15</v>
      </c>
      <c r="B12" s="8">
        <v>355.91300000000001</v>
      </c>
      <c r="C12" s="8">
        <v>351.53</v>
      </c>
      <c r="D12" s="8">
        <v>351.17599999999999</v>
      </c>
      <c r="E12" s="8">
        <v>362.86700000000002</v>
      </c>
      <c r="F12" s="8">
        <v>374.62299999999999</v>
      </c>
      <c r="G12" s="8">
        <v>383.61799999999999</v>
      </c>
      <c r="H12" s="8">
        <v>409.16300000000001</v>
      </c>
      <c r="I12" s="8">
        <v>418.34199999999998</v>
      </c>
      <c r="J12" s="8">
        <v>452.77600000000001</v>
      </c>
      <c r="K12" s="8">
        <v>478.28899999999999</v>
      </c>
      <c r="L12" s="3">
        <v>511.75</v>
      </c>
      <c r="M12" s="3">
        <v>535.4</v>
      </c>
    </row>
    <row r="13" spans="1:13" ht="15" customHeight="1" outlineLevel="2" x14ac:dyDescent="0.25">
      <c r="A13" s="9" t="s">
        <v>16</v>
      </c>
      <c r="B13" s="5">
        <v>9.173</v>
      </c>
      <c r="C13" s="5">
        <v>9.4540000000000006</v>
      </c>
      <c r="D13" s="5">
        <v>10.08</v>
      </c>
      <c r="E13" s="5">
        <v>10.529</v>
      </c>
      <c r="F13" s="5">
        <v>10.678000000000001</v>
      </c>
      <c r="G13" s="5">
        <v>10.987</v>
      </c>
      <c r="H13" s="5">
        <v>11.151999999999999</v>
      </c>
      <c r="I13" s="5">
        <v>10.657999999999999</v>
      </c>
      <c r="J13" s="5">
        <v>10.945</v>
      </c>
      <c r="K13" s="5">
        <v>11.853</v>
      </c>
      <c r="L13" s="5">
        <v>12.97</v>
      </c>
      <c r="M13" s="5">
        <v>14.2</v>
      </c>
    </row>
    <row r="14" spans="1:13" ht="15" customHeight="1" outlineLevel="3" x14ac:dyDescent="0.25">
      <c r="A14" s="11" t="s">
        <v>17</v>
      </c>
      <c r="B14" s="8">
        <v>9.173</v>
      </c>
      <c r="C14" s="8">
        <v>9.4540000000000006</v>
      </c>
      <c r="D14" s="8">
        <v>10.08</v>
      </c>
      <c r="E14" s="8">
        <v>10.529</v>
      </c>
      <c r="F14" s="8">
        <v>10.678000000000001</v>
      </c>
      <c r="G14" s="8">
        <v>10.987</v>
      </c>
      <c r="H14" s="8">
        <v>11.151999999999999</v>
      </c>
      <c r="I14" s="8">
        <v>10.657999999999999</v>
      </c>
      <c r="J14" s="8">
        <v>10.945</v>
      </c>
      <c r="K14" s="8">
        <v>11.853</v>
      </c>
      <c r="L14" s="3">
        <v>12.97</v>
      </c>
      <c r="M14" s="3">
        <v>14.2</v>
      </c>
    </row>
    <row r="15" spans="1:13" ht="15" customHeight="1" x14ac:dyDescent="0.25">
      <c r="A15" s="12" t="s">
        <v>18</v>
      </c>
      <c r="B15" s="5">
        <v>120.565</v>
      </c>
      <c r="C15" s="5">
        <v>121.146</v>
      </c>
      <c r="D15" s="5">
        <v>123.88800000000001</v>
      </c>
      <c r="E15" s="5">
        <v>126.51300000000001</v>
      </c>
      <c r="F15" s="5">
        <v>129.10400000000001</v>
      </c>
      <c r="G15" s="5">
        <v>129.35900000000001</v>
      </c>
      <c r="H15" s="5">
        <v>138.83600000000001</v>
      </c>
      <c r="I15" s="5">
        <v>143.75399999999999</v>
      </c>
      <c r="J15" s="5">
        <v>147.56800000000001</v>
      </c>
      <c r="K15" s="5">
        <v>157.983</v>
      </c>
      <c r="L15" s="5">
        <v>162.79</v>
      </c>
      <c r="M15" s="5">
        <v>171.02</v>
      </c>
    </row>
    <row r="16" spans="1:13" ht="15" customHeight="1" outlineLevel="1" x14ac:dyDescent="0.25">
      <c r="A16" s="13" t="s">
        <v>19</v>
      </c>
      <c r="B16" s="3">
        <v>93.418000000000006</v>
      </c>
      <c r="C16" s="3">
        <v>97.040999999999997</v>
      </c>
      <c r="D16" s="3">
        <v>101.85299999999999</v>
      </c>
      <c r="E16" s="3">
        <v>105.31</v>
      </c>
      <c r="F16" s="3">
        <v>107.14700000000001</v>
      </c>
      <c r="G16" s="3">
        <v>107.89100000000001</v>
      </c>
      <c r="H16" s="3">
        <v>111.88800000000001</v>
      </c>
      <c r="I16" s="3">
        <v>115.312</v>
      </c>
      <c r="J16" s="3">
        <v>123.04</v>
      </c>
      <c r="K16" s="3">
        <v>130.971</v>
      </c>
      <c r="L16" s="3">
        <v>139.88</v>
      </c>
      <c r="M16" s="3">
        <v>147.94</v>
      </c>
    </row>
    <row r="17" spans="1:13" ht="15" customHeight="1" outlineLevel="2" x14ac:dyDescent="0.25">
      <c r="A17" s="6" t="s">
        <v>20</v>
      </c>
      <c r="B17" s="15">
        <v>93.418000000000006</v>
      </c>
      <c r="C17" s="15">
        <v>97.040999999999997</v>
      </c>
      <c r="D17" s="15">
        <v>101.85299999999999</v>
      </c>
      <c r="E17" s="15">
        <v>105.31</v>
      </c>
      <c r="F17" s="15">
        <v>107.14700000000001</v>
      </c>
      <c r="G17" s="15">
        <v>107.89100000000001</v>
      </c>
      <c r="H17" s="15">
        <v>111.88800000000001</v>
      </c>
      <c r="I17" s="15">
        <v>115.312</v>
      </c>
      <c r="J17" s="15">
        <v>123.04</v>
      </c>
      <c r="K17" s="15">
        <v>130.971</v>
      </c>
      <c r="L17" s="5">
        <v>139.88</v>
      </c>
      <c r="M17" s="5">
        <v>147.94</v>
      </c>
    </row>
    <row r="18" spans="1:13" ht="15" customHeight="1" x14ac:dyDescent="0.25">
      <c r="A18" s="2" t="s">
        <v>21</v>
      </c>
      <c r="B18" s="3">
        <v>27.146999999999998</v>
      </c>
      <c r="C18" s="3">
        <v>24.105</v>
      </c>
      <c r="D18" s="3">
        <v>22.035</v>
      </c>
      <c r="E18" s="3">
        <v>21.202999999999999</v>
      </c>
      <c r="F18" s="3">
        <v>21.957000000000001</v>
      </c>
      <c r="G18" s="3">
        <v>21.468</v>
      </c>
      <c r="H18" s="3">
        <v>26.948</v>
      </c>
      <c r="I18" s="3">
        <v>28.442</v>
      </c>
      <c r="J18" s="3">
        <v>24.527999999999999</v>
      </c>
      <c r="K18" s="3">
        <v>27.012</v>
      </c>
      <c r="L18" s="3">
        <v>29.35</v>
      </c>
      <c r="M18" s="3">
        <v>29.83</v>
      </c>
    </row>
    <row r="19" spans="1:13" ht="15" customHeight="1" outlineLevel="1" x14ac:dyDescent="0.25">
      <c r="A19" s="4" t="s">
        <v>22</v>
      </c>
      <c r="B19" s="5">
        <v>0.13900000000000001</v>
      </c>
      <c r="C19" s="5">
        <v>9.6000000000000002E-2</v>
      </c>
      <c r="D19" s="5">
        <v>0.872</v>
      </c>
      <c r="E19" s="5">
        <v>0.58699999999999997</v>
      </c>
      <c r="F19" s="5">
        <v>0.26600000000000001</v>
      </c>
      <c r="G19" s="5">
        <v>0.189</v>
      </c>
      <c r="H19" s="5">
        <v>-8.1790000000000003</v>
      </c>
      <c r="I19" s="5">
        <v>-0.27500000000000002</v>
      </c>
      <c r="J19" s="5">
        <v>0.254</v>
      </c>
      <c r="K19" s="5">
        <v>0.54600000000000004</v>
      </c>
      <c r="L19" s="5">
        <f>SUM(L20:L21)</f>
        <v>1.27</v>
      </c>
      <c r="M19" s="16">
        <f>SUM(M20:M21)</f>
        <v>-1.71</v>
      </c>
    </row>
    <row r="20" spans="1:13" ht="15" customHeight="1" outlineLevel="2" x14ac:dyDescent="0.25">
      <c r="A20" s="7" t="s">
        <v>23</v>
      </c>
      <c r="B20" s="8">
        <v>0.113</v>
      </c>
      <c r="C20" s="8">
        <v>8.1000000000000003E-2</v>
      </c>
      <c r="D20" s="8">
        <v>0.1</v>
      </c>
      <c r="E20" s="8">
        <v>0.152</v>
      </c>
      <c r="F20" s="8">
        <v>0.217</v>
      </c>
      <c r="G20" s="8">
        <v>0.189</v>
      </c>
      <c r="H20" s="8">
        <v>0.121</v>
      </c>
      <c r="I20" s="8">
        <v>0.158</v>
      </c>
      <c r="J20" s="8">
        <v>0.254</v>
      </c>
      <c r="K20" s="8">
        <v>0.54600000000000004</v>
      </c>
      <c r="L20" s="8">
        <v>0.48</v>
      </c>
      <c r="M20" s="8">
        <v>0.37</v>
      </c>
    </row>
    <row r="21" spans="1:13" ht="15" customHeight="1" outlineLevel="2" x14ac:dyDescent="0.25">
      <c r="A21" s="6" t="s">
        <v>24</v>
      </c>
      <c r="B21" s="15">
        <v>2.5999999999999999E-2</v>
      </c>
      <c r="C21" s="15">
        <v>1.4999999999999999E-2</v>
      </c>
      <c r="D21" s="15">
        <v>0.77200000000000002</v>
      </c>
      <c r="E21" s="15">
        <v>0.435</v>
      </c>
      <c r="F21" s="15">
        <v>4.9000000000000002E-2</v>
      </c>
      <c r="G21" s="15">
        <v>0</v>
      </c>
      <c r="H21" s="16">
        <v>-8.3000000000000007</v>
      </c>
      <c r="I21" s="16">
        <v>-0.433</v>
      </c>
      <c r="J21" s="15">
        <v>0</v>
      </c>
      <c r="K21" s="15">
        <v>0</v>
      </c>
      <c r="L21" s="15">
        <v>0.79</v>
      </c>
      <c r="M21" s="16">
        <v>-2.08</v>
      </c>
    </row>
    <row r="22" spans="1:13" ht="15" customHeight="1" outlineLevel="1" x14ac:dyDescent="0.25">
      <c r="A22" s="13" t="s">
        <v>25</v>
      </c>
      <c r="B22" s="3">
        <v>2.4870000000000001</v>
      </c>
      <c r="C22" s="3">
        <v>2.5630000000000002</v>
      </c>
      <c r="D22" s="3">
        <v>2.41</v>
      </c>
      <c r="E22" s="3">
        <v>2.331</v>
      </c>
      <c r="F22" s="3">
        <v>2.395</v>
      </c>
      <c r="G22" s="3">
        <v>2.5990000000000002</v>
      </c>
      <c r="H22" s="3">
        <v>2.3149999999999999</v>
      </c>
      <c r="I22" s="3">
        <v>1.994</v>
      </c>
      <c r="J22" s="3">
        <v>2.1280000000000001</v>
      </c>
      <c r="K22" s="3">
        <v>2.6829999999999998</v>
      </c>
      <c r="L22" s="3">
        <v>2.25</v>
      </c>
      <c r="M22" s="3">
        <v>2.4300000000000002</v>
      </c>
    </row>
    <row r="23" spans="1:13" ht="15" customHeight="1" outlineLevel="2" x14ac:dyDescent="0.25">
      <c r="A23" s="6" t="s">
        <v>26</v>
      </c>
      <c r="B23" s="15">
        <v>2.5459999999999998</v>
      </c>
      <c r="C23" s="15">
        <v>2.6019999999999999</v>
      </c>
      <c r="D23" s="15">
        <v>2.4460000000000002</v>
      </c>
      <c r="E23" s="15">
        <v>2.3479999999999999</v>
      </c>
      <c r="F23" s="15">
        <v>2.395</v>
      </c>
      <c r="G23" s="15">
        <v>2.5990000000000002</v>
      </c>
      <c r="H23" s="15">
        <v>2.3149999999999999</v>
      </c>
      <c r="I23" s="15">
        <v>1.994</v>
      </c>
      <c r="J23" s="15">
        <v>2.1280000000000001</v>
      </c>
      <c r="K23" s="15">
        <v>2.6829999999999998</v>
      </c>
      <c r="L23" s="5">
        <v>2.73</v>
      </c>
      <c r="M23" s="5">
        <v>2.8</v>
      </c>
    </row>
    <row r="24" spans="1:13" ht="15" customHeight="1" outlineLevel="2" x14ac:dyDescent="0.25">
      <c r="A24" s="7" t="s">
        <v>27</v>
      </c>
      <c r="B24" s="8">
        <v>5.8999999999999997E-2</v>
      </c>
      <c r="C24" s="8">
        <v>3.9E-2</v>
      </c>
      <c r="D24" s="8">
        <v>3.5999999999999997E-2</v>
      </c>
      <c r="E24" s="8">
        <v>1.7000000000000001E-2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3">
        <v>0</v>
      </c>
      <c r="M24" s="3">
        <v>0</v>
      </c>
    </row>
    <row r="25" spans="1:13" ht="15" customHeight="1" outlineLevel="1" x14ac:dyDescent="0.25">
      <c r="A25" s="4" t="s">
        <v>28</v>
      </c>
      <c r="B25" s="5">
        <v>0</v>
      </c>
      <c r="C25" s="5">
        <v>0</v>
      </c>
      <c r="D25" s="5">
        <v>0</v>
      </c>
      <c r="E25" s="5">
        <v>4.3360000000000003</v>
      </c>
      <c r="F25" s="5">
        <v>8.3680000000000003</v>
      </c>
      <c r="G25" s="5">
        <v>-1.0580000000000001</v>
      </c>
      <c r="H25" s="5">
        <v>-4.1100000000000003</v>
      </c>
      <c r="I25" s="5">
        <v>7.4770000000000003</v>
      </c>
      <c r="J25" s="5">
        <v>5.6379999999999999</v>
      </c>
      <c r="K25" s="5">
        <v>3.0270000000000001</v>
      </c>
      <c r="L25" s="5">
        <v>0</v>
      </c>
      <c r="M25" s="5">
        <v>0</v>
      </c>
    </row>
    <row r="26" spans="1:13" ht="15" customHeight="1" outlineLevel="2" x14ac:dyDescent="0.25">
      <c r="A26" s="17" t="s">
        <v>29</v>
      </c>
      <c r="B26" s="2"/>
      <c r="C26" s="2"/>
      <c r="D26" s="2"/>
      <c r="E26" s="2"/>
      <c r="F26" s="2"/>
      <c r="G26" s="3">
        <v>0.9</v>
      </c>
      <c r="H26" s="3">
        <v>0</v>
      </c>
      <c r="I26" s="3">
        <v>0</v>
      </c>
      <c r="J26" s="2"/>
      <c r="K26" s="2"/>
      <c r="L26" s="3">
        <v>0</v>
      </c>
      <c r="M26" s="3">
        <v>0</v>
      </c>
    </row>
    <row r="27" spans="1:13" ht="15" customHeight="1" outlineLevel="3" x14ac:dyDescent="0.25">
      <c r="A27" s="10" t="s">
        <v>30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0.9</v>
      </c>
      <c r="H27" s="15">
        <v>0</v>
      </c>
      <c r="I27" s="15">
        <v>0</v>
      </c>
      <c r="J27" s="15">
        <v>0</v>
      </c>
      <c r="K27" s="15">
        <v>0</v>
      </c>
      <c r="L27" s="5">
        <v>0</v>
      </c>
      <c r="M27" s="5">
        <v>0</v>
      </c>
    </row>
    <row r="28" spans="1:13" ht="15" customHeight="1" outlineLevel="2" x14ac:dyDescent="0.25">
      <c r="A28" s="7" t="s">
        <v>31</v>
      </c>
      <c r="B28" s="8">
        <v>0</v>
      </c>
      <c r="C28" s="8">
        <v>0</v>
      </c>
      <c r="D28" s="8">
        <v>0</v>
      </c>
      <c r="E28" s="8">
        <v>1.2</v>
      </c>
      <c r="F28" s="8">
        <v>0</v>
      </c>
      <c r="G28" s="8">
        <v>0</v>
      </c>
      <c r="H28" s="8">
        <v>0.4</v>
      </c>
      <c r="I28" s="8">
        <v>0</v>
      </c>
      <c r="J28" s="8">
        <v>0.8</v>
      </c>
      <c r="K28" s="8">
        <v>0</v>
      </c>
      <c r="L28" s="3">
        <v>0</v>
      </c>
      <c r="M28" s="3">
        <v>0</v>
      </c>
    </row>
    <row r="29" spans="1:13" ht="15" customHeight="1" outlineLevel="2" x14ac:dyDescent="0.25">
      <c r="A29" s="6" t="s">
        <v>32</v>
      </c>
      <c r="B29" s="18"/>
      <c r="C29" s="18"/>
      <c r="D29" s="18"/>
      <c r="E29" s="18"/>
      <c r="F29" s="18"/>
      <c r="G29" s="18"/>
      <c r="H29" s="18"/>
      <c r="I29" s="18"/>
      <c r="J29" s="15">
        <v>3.3</v>
      </c>
      <c r="K29" s="18"/>
      <c r="L29" s="5"/>
      <c r="M29" s="5"/>
    </row>
    <row r="30" spans="1:13" ht="15" customHeight="1" outlineLevel="2" x14ac:dyDescent="0.25">
      <c r="A30" s="17" t="s">
        <v>33</v>
      </c>
      <c r="B30" s="2"/>
      <c r="C30" s="2"/>
      <c r="D30" s="2"/>
      <c r="E30" s="2"/>
      <c r="F30" s="3">
        <v>-8.3680000000000003</v>
      </c>
      <c r="G30" s="3">
        <v>1.958</v>
      </c>
      <c r="H30" s="3">
        <v>8.51</v>
      </c>
      <c r="I30" s="3">
        <v>-2.5670000000000002</v>
      </c>
      <c r="J30" s="3">
        <v>-1.538</v>
      </c>
      <c r="K30" s="3">
        <v>-3.0270000000000001</v>
      </c>
      <c r="L30" s="3"/>
      <c r="M30" s="3"/>
    </row>
    <row r="31" spans="1:13" ht="15" customHeight="1" outlineLevel="3" x14ac:dyDescent="0.25">
      <c r="A31" s="10" t="s">
        <v>34</v>
      </c>
      <c r="B31" s="18"/>
      <c r="C31" s="18"/>
      <c r="D31" s="18"/>
      <c r="E31" s="18"/>
      <c r="F31" s="18"/>
      <c r="G31" s="18"/>
      <c r="H31" s="15">
        <v>8.51</v>
      </c>
      <c r="I31" s="16">
        <v>-2.5670000000000002</v>
      </c>
      <c r="J31" s="16">
        <v>-1.538</v>
      </c>
      <c r="K31" s="16">
        <v>-3.0270000000000001</v>
      </c>
      <c r="L31" s="5"/>
      <c r="M31" s="5"/>
    </row>
    <row r="32" spans="1:13" ht="15" customHeight="1" outlineLevel="3" x14ac:dyDescent="0.25">
      <c r="A32" s="11" t="s">
        <v>35</v>
      </c>
      <c r="B32" s="19"/>
      <c r="C32" s="19"/>
      <c r="D32" s="19"/>
      <c r="E32" s="19"/>
      <c r="F32" s="20">
        <v>-8.3680000000000003</v>
      </c>
      <c r="G32" s="8">
        <v>1.958</v>
      </c>
      <c r="H32" s="19"/>
      <c r="I32" s="19"/>
      <c r="J32" s="19"/>
      <c r="K32" s="19"/>
      <c r="L32" s="3"/>
      <c r="M32" s="3"/>
    </row>
    <row r="33" spans="1:13" ht="15" customHeight="1" outlineLevel="2" x14ac:dyDescent="0.25">
      <c r="A33" s="9" t="s">
        <v>36</v>
      </c>
      <c r="B33" s="12"/>
      <c r="C33" s="12"/>
      <c r="D33" s="12"/>
      <c r="E33" s="5">
        <v>3.1360000000000001</v>
      </c>
      <c r="F33" s="5">
        <v>0</v>
      </c>
      <c r="G33" s="5">
        <v>0</v>
      </c>
      <c r="H33" s="5">
        <v>4</v>
      </c>
      <c r="I33" s="5">
        <v>4.91</v>
      </c>
      <c r="J33" s="12"/>
      <c r="K33" s="5">
        <v>0</v>
      </c>
      <c r="L33" s="5"/>
      <c r="M33" s="5"/>
    </row>
    <row r="34" spans="1:13" ht="15" customHeight="1" outlineLevel="3" x14ac:dyDescent="0.25">
      <c r="A34" s="11" t="s">
        <v>37</v>
      </c>
      <c r="B34" s="19"/>
      <c r="C34" s="19"/>
      <c r="D34" s="19"/>
      <c r="E34" s="8">
        <v>3.1360000000000001</v>
      </c>
      <c r="F34" s="8">
        <v>0</v>
      </c>
      <c r="G34" s="8">
        <v>0</v>
      </c>
      <c r="H34" s="19"/>
      <c r="I34" s="8">
        <v>2.41</v>
      </c>
      <c r="J34" s="19"/>
      <c r="K34" s="8">
        <v>0</v>
      </c>
      <c r="L34" s="3"/>
      <c r="M34" s="3"/>
    </row>
    <row r="35" spans="1:13" ht="15" customHeight="1" outlineLevel="3" x14ac:dyDescent="0.25">
      <c r="A35" s="10" t="s">
        <v>38</v>
      </c>
      <c r="B35" s="18"/>
      <c r="C35" s="18"/>
      <c r="D35" s="18"/>
      <c r="E35" s="18"/>
      <c r="F35" s="18"/>
      <c r="G35" s="18"/>
      <c r="H35" s="15">
        <v>4</v>
      </c>
      <c r="I35" s="15">
        <v>2.5</v>
      </c>
      <c r="J35" s="18"/>
      <c r="K35" s="18"/>
      <c r="L35" s="5"/>
      <c r="M35" s="5"/>
    </row>
    <row r="36" spans="1:13" ht="15" customHeight="1" x14ac:dyDescent="0.25">
      <c r="A36" s="2" t="s">
        <v>39</v>
      </c>
      <c r="B36" s="3">
        <v>24.798999999999999</v>
      </c>
      <c r="C36" s="3">
        <v>21.638000000000002</v>
      </c>
      <c r="D36" s="3">
        <v>20.497</v>
      </c>
      <c r="E36" s="3">
        <v>15.122999999999999</v>
      </c>
      <c r="F36" s="3">
        <v>11.46</v>
      </c>
      <c r="G36" s="3">
        <v>20.116</v>
      </c>
      <c r="H36" s="3">
        <v>20.564</v>
      </c>
      <c r="I36" s="3">
        <v>18.696000000000002</v>
      </c>
      <c r="J36" s="3">
        <v>17.015999999999998</v>
      </c>
      <c r="K36" s="3">
        <v>21.847999999999999</v>
      </c>
      <c r="L36" s="3">
        <v>26.31</v>
      </c>
      <c r="M36" s="3">
        <v>29.47</v>
      </c>
    </row>
    <row r="37" spans="1:13" ht="15" customHeight="1" outlineLevel="1" x14ac:dyDescent="0.25">
      <c r="A37" s="4" t="s">
        <v>40</v>
      </c>
      <c r="B37" s="5">
        <v>7.9850000000000003</v>
      </c>
      <c r="C37" s="5">
        <v>6.5579999999999998</v>
      </c>
      <c r="D37" s="5">
        <v>6.2039999999999997</v>
      </c>
      <c r="E37" s="5">
        <v>4.5999999999999996</v>
      </c>
      <c r="F37" s="5">
        <v>4.2809999999999997</v>
      </c>
      <c r="G37" s="5">
        <v>4.915</v>
      </c>
      <c r="H37" s="5">
        <v>6.8579999999999997</v>
      </c>
      <c r="I37" s="5">
        <v>4.7560000000000002</v>
      </c>
      <c r="J37" s="5">
        <v>5.7240000000000002</v>
      </c>
      <c r="K37" s="5">
        <v>5.5780000000000003</v>
      </c>
      <c r="L37" s="5">
        <v>6.15</v>
      </c>
      <c r="M37" s="5">
        <v>7.2</v>
      </c>
    </row>
    <row r="38" spans="1:13" ht="15" customHeight="1" outlineLevel="2" x14ac:dyDescent="0.25">
      <c r="A38" s="7" t="s">
        <v>41</v>
      </c>
      <c r="B38" s="8">
        <v>6.9749999999999996</v>
      </c>
      <c r="C38" s="8">
        <v>6.1840000000000002</v>
      </c>
      <c r="D38" s="8">
        <v>3.9489999999999998</v>
      </c>
      <c r="E38" s="8">
        <v>3.403</v>
      </c>
      <c r="F38" s="8">
        <v>3.2559999999999998</v>
      </c>
      <c r="G38" s="8">
        <v>3.3809999999999998</v>
      </c>
      <c r="H38" s="8">
        <v>3.7330000000000001</v>
      </c>
      <c r="I38" s="8">
        <v>3.9620000000000002</v>
      </c>
      <c r="J38" s="8">
        <v>2.64</v>
      </c>
      <c r="K38" s="8">
        <v>3.9769999999999999</v>
      </c>
      <c r="L38" s="3"/>
      <c r="M38" s="3"/>
    </row>
    <row r="39" spans="1:13" ht="15" customHeight="1" outlineLevel="2" x14ac:dyDescent="0.25">
      <c r="A39" s="6" t="s">
        <v>42</v>
      </c>
      <c r="B39" s="15">
        <v>1.5289999999999999</v>
      </c>
      <c r="C39" s="15">
        <v>1.4</v>
      </c>
      <c r="D39" s="15">
        <v>1.51</v>
      </c>
      <c r="E39" s="15">
        <v>1.377</v>
      </c>
      <c r="F39" s="15">
        <v>1.4950000000000001</v>
      </c>
      <c r="G39" s="15">
        <v>1.2050000000000001</v>
      </c>
      <c r="H39" s="15">
        <v>1.127</v>
      </c>
      <c r="I39" s="15">
        <v>1.5529999999999999</v>
      </c>
      <c r="J39" s="15">
        <v>2.6539999999999999</v>
      </c>
      <c r="K39" s="15">
        <v>1.772</v>
      </c>
      <c r="L39" s="5"/>
      <c r="M39" s="5"/>
    </row>
    <row r="40" spans="1:13" ht="15" customHeight="1" outlineLevel="2" x14ac:dyDescent="0.25">
      <c r="A40" s="7" t="s">
        <v>43</v>
      </c>
      <c r="B40" s="20">
        <v>-0.442</v>
      </c>
      <c r="C40" s="20">
        <v>-0.81</v>
      </c>
      <c r="D40" s="8">
        <v>1.105</v>
      </c>
      <c r="E40" s="20">
        <v>-3.4000000000000002E-2</v>
      </c>
      <c r="F40" s="20">
        <v>-0.377</v>
      </c>
      <c r="G40" s="8">
        <v>0.69799999999999995</v>
      </c>
      <c r="H40" s="8">
        <v>2.339</v>
      </c>
      <c r="I40" s="20">
        <v>-0.63</v>
      </c>
      <c r="J40" s="8">
        <v>0.72699999999999998</v>
      </c>
      <c r="K40" s="20">
        <v>-0.29699999999999999</v>
      </c>
      <c r="L40" s="3"/>
      <c r="M40" s="3"/>
    </row>
    <row r="41" spans="1:13" ht="15" customHeight="1" outlineLevel="2" x14ac:dyDescent="0.25">
      <c r="A41" s="6" t="s">
        <v>44</v>
      </c>
      <c r="B41" s="16">
        <v>-7.6999999999999999E-2</v>
      </c>
      <c r="C41" s="16">
        <v>-0.216</v>
      </c>
      <c r="D41" s="16">
        <v>-0.36</v>
      </c>
      <c r="E41" s="16">
        <v>-0.14599999999999999</v>
      </c>
      <c r="F41" s="16">
        <v>-9.2999999999999999E-2</v>
      </c>
      <c r="G41" s="16">
        <v>-0.36899999999999999</v>
      </c>
      <c r="H41" s="16">
        <v>-0.34100000000000003</v>
      </c>
      <c r="I41" s="16">
        <v>-0.129</v>
      </c>
      <c r="J41" s="16">
        <v>-0.29699999999999999</v>
      </c>
      <c r="K41" s="15">
        <v>0.126</v>
      </c>
      <c r="L41" s="5"/>
      <c r="M41" s="5"/>
    </row>
    <row r="42" spans="1:13" ht="15" customHeight="1" x14ac:dyDescent="0.25">
      <c r="A42" s="2" t="s">
        <v>45</v>
      </c>
      <c r="B42" s="3">
        <v>16.814</v>
      </c>
      <c r="C42" s="3">
        <v>15.08</v>
      </c>
      <c r="D42" s="3">
        <v>14.292999999999999</v>
      </c>
      <c r="E42" s="3">
        <v>10.523</v>
      </c>
      <c r="F42" s="3">
        <v>7.1790000000000003</v>
      </c>
      <c r="G42" s="3">
        <v>15.201000000000001</v>
      </c>
      <c r="H42" s="3">
        <v>13.706</v>
      </c>
      <c r="I42" s="3">
        <v>13.94</v>
      </c>
      <c r="J42" s="3">
        <v>11.292</v>
      </c>
      <c r="K42" s="3">
        <v>16.27</v>
      </c>
      <c r="L42" s="3">
        <v>20.16</v>
      </c>
      <c r="M42" s="3">
        <v>22.27</v>
      </c>
    </row>
    <row r="43" spans="1:13" ht="15" customHeight="1" outlineLevel="1" x14ac:dyDescent="0.25">
      <c r="A43" s="21" t="s">
        <v>46</v>
      </c>
      <c r="B43" s="15">
        <v>0.63200000000000001</v>
      </c>
      <c r="C43" s="15">
        <v>0.38600000000000001</v>
      </c>
      <c r="D43" s="15">
        <v>0.65</v>
      </c>
      <c r="E43" s="15">
        <v>0.66100000000000003</v>
      </c>
      <c r="F43" s="15">
        <v>0.50900000000000001</v>
      </c>
      <c r="G43" s="15">
        <v>0.32</v>
      </c>
      <c r="H43" s="15">
        <v>0.19600000000000001</v>
      </c>
      <c r="I43" s="15">
        <v>0.26700000000000002</v>
      </c>
      <c r="J43" s="16">
        <v>-0.38800000000000001</v>
      </c>
      <c r="K43" s="15">
        <v>0.75900000000000001</v>
      </c>
      <c r="L43" s="5">
        <v>0.72</v>
      </c>
      <c r="M43" s="5">
        <v>0.38</v>
      </c>
    </row>
    <row r="44" spans="1:13" ht="15" customHeight="1" x14ac:dyDescent="0.25">
      <c r="A44" s="2" t="s">
        <v>47</v>
      </c>
      <c r="B44" s="3">
        <v>16.181999999999999</v>
      </c>
      <c r="C44" s="3">
        <v>14.694000000000001</v>
      </c>
      <c r="D44" s="3">
        <v>13.643000000000001</v>
      </c>
      <c r="E44" s="3">
        <v>9.8620000000000001</v>
      </c>
      <c r="F44" s="3">
        <v>6.67</v>
      </c>
      <c r="G44" s="3">
        <v>14.881</v>
      </c>
      <c r="H44" s="3">
        <v>13.51</v>
      </c>
      <c r="I44" s="3">
        <v>13.673</v>
      </c>
      <c r="J44" s="3">
        <v>11.68</v>
      </c>
      <c r="K44" s="3">
        <v>15.510999999999999</v>
      </c>
      <c r="L44" s="3">
        <v>19.440000000000001</v>
      </c>
      <c r="M44" s="3">
        <v>21.89</v>
      </c>
    </row>
    <row r="45" spans="1:13" ht="15" customHeight="1" outlineLevel="1" x14ac:dyDescent="0.25">
      <c r="A45" s="21" t="s">
        <v>48</v>
      </c>
      <c r="B45" s="15">
        <v>0.18099999999999999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5">
        <v>0</v>
      </c>
      <c r="M45" s="5">
        <v>0</v>
      </c>
    </row>
    <row r="46" spans="1:13" ht="15" customHeight="1" outlineLevel="1" x14ac:dyDescent="0.25">
      <c r="A46" s="22" t="s">
        <v>49</v>
      </c>
      <c r="B46" s="8">
        <v>16.363</v>
      </c>
      <c r="C46" s="8">
        <v>14.694000000000001</v>
      </c>
      <c r="D46" s="8">
        <v>13.643000000000001</v>
      </c>
      <c r="E46" s="8">
        <v>9.8620000000000001</v>
      </c>
      <c r="F46" s="8">
        <v>6.67</v>
      </c>
      <c r="G46" s="8">
        <v>14.881</v>
      </c>
      <c r="H46" s="8">
        <v>13.51</v>
      </c>
      <c r="I46" s="8">
        <v>13.673</v>
      </c>
      <c r="J46" s="8">
        <v>11.68</v>
      </c>
      <c r="K46" s="8">
        <v>15.510999999999999</v>
      </c>
      <c r="L46" s="3">
        <v>19.440000000000001</v>
      </c>
      <c r="M46" s="3">
        <v>21.89</v>
      </c>
    </row>
    <row r="47" spans="1:13" ht="15" customHeight="1" x14ac:dyDescent="0.25">
      <c r="A47" s="12" t="s">
        <v>50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5"/>
      <c r="M47" s="5"/>
    </row>
    <row r="48" spans="1:13" ht="15" customHeight="1" outlineLevel="1" x14ac:dyDescent="0.25">
      <c r="A48" s="22" t="s">
        <v>51</v>
      </c>
      <c r="B48" s="8">
        <v>1.6818770000000001</v>
      </c>
      <c r="C48" s="8">
        <v>1.522535</v>
      </c>
      <c r="D48" s="8">
        <v>1.4613309999999999</v>
      </c>
      <c r="E48" s="8">
        <v>1.4282600000000001</v>
      </c>
      <c r="F48" s="8">
        <v>1.41795</v>
      </c>
      <c r="G48" s="8">
        <v>1.6434660000000001</v>
      </c>
      <c r="H48" s="8">
        <v>1.2449349999999999</v>
      </c>
      <c r="I48" s="8">
        <v>2.246807</v>
      </c>
      <c r="J48" s="8">
        <v>1.905216</v>
      </c>
      <c r="K48" s="8">
        <v>2.1743809999999999</v>
      </c>
      <c r="L48" s="3"/>
      <c r="M48" s="3"/>
    </row>
    <row r="49" spans="1:13" ht="15" customHeight="1" outlineLevel="1" x14ac:dyDescent="0.25">
      <c r="A49" s="4" t="s">
        <v>52</v>
      </c>
      <c r="B49" s="5">
        <v>1.69</v>
      </c>
      <c r="C49" s="5">
        <v>1.5266999999999999</v>
      </c>
      <c r="D49" s="5">
        <v>1.4666999999999999</v>
      </c>
      <c r="E49" s="5">
        <v>1.0967</v>
      </c>
      <c r="F49" s="5">
        <v>0.76</v>
      </c>
      <c r="G49" s="5">
        <v>1.7404999999999999</v>
      </c>
      <c r="H49" s="5">
        <v>1.5907</v>
      </c>
      <c r="I49" s="5">
        <v>1.6324000000000001</v>
      </c>
      <c r="J49" s="5">
        <v>1.4293</v>
      </c>
      <c r="K49" s="5">
        <v>1.9204000000000001</v>
      </c>
      <c r="L49" s="5">
        <v>2.42</v>
      </c>
      <c r="M49" s="5">
        <v>2.74</v>
      </c>
    </row>
    <row r="50" spans="1:13" ht="15" customHeight="1" outlineLevel="2" x14ac:dyDescent="0.25">
      <c r="A50" s="7" t="s">
        <v>53</v>
      </c>
      <c r="B50" s="8">
        <v>9690.0099809999992</v>
      </c>
      <c r="C50" s="8">
        <v>9621.0099100000007</v>
      </c>
      <c r="D50" s="8">
        <v>9303.0095820000006</v>
      </c>
      <c r="E50" s="8">
        <v>8985.0092550000008</v>
      </c>
      <c r="F50" s="8">
        <v>8787.0090509999991</v>
      </c>
      <c r="G50" s="8">
        <v>8550.0088059999998</v>
      </c>
      <c r="H50" s="8">
        <v>8493.0087480000002</v>
      </c>
      <c r="I50" s="8">
        <v>8376.0086269999993</v>
      </c>
      <c r="J50" s="8">
        <v>8172.008417</v>
      </c>
      <c r="K50" s="8">
        <v>8077.0083189999996</v>
      </c>
      <c r="L50" s="3">
        <v>8041</v>
      </c>
      <c r="M50" s="3">
        <v>7983</v>
      </c>
    </row>
    <row r="51" spans="1:13" ht="15" customHeight="1" outlineLevel="2" x14ac:dyDescent="0.25">
      <c r="A51" s="6" t="s">
        <v>54</v>
      </c>
      <c r="B51" s="15">
        <v>9684.0099750000008</v>
      </c>
      <c r="C51" s="15">
        <v>9486.0097709999991</v>
      </c>
      <c r="D51" s="15">
        <v>9144.0094179999996</v>
      </c>
      <c r="E51" s="15">
        <v>8856.0091219999995</v>
      </c>
      <c r="F51" s="15">
        <v>8634.0088930000002</v>
      </c>
      <c r="G51" s="15">
        <v>8497.4873950000001</v>
      </c>
      <c r="H51" s="15">
        <v>8463.0087170000006</v>
      </c>
      <c r="I51" s="15">
        <v>8283.0085309999995</v>
      </c>
      <c r="J51" s="15">
        <v>8079.0083210000003</v>
      </c>
      <c r="K51" s="15">
        <v>8054.008296</v>
      </c>
      <c r="L51" s="14">
        <v>8016.85</v>
      </c>
      <c r="M51" s="15">
        <v>7972.4</v>
      </c>
    </row>
    <row r="52" spans="1:13" ht="15" customHeight="1" outlineLevel="1" x14ac:dyDescent="0.25">
      <c r="A52" s="13" t="s">
        <v>55</v>
      </c>
      <c r="B52" s="3">
        <v>1.6833</v>
      </c>
      <c r="C52" s="3">
        <v>1.5233000000000001</v>
      </c>
      <c r="D52" s="3">
        <v>1.46</v>
      </c>
      <c r="E52" s="3">
        <v>1.0932999999999999</v>
      </c>
      <c r="F52" s="3">
        <v>0.75329999999999997</v>
      </c>
      <c r="G52" s="3">
        <v>1.7295</v>
      </c>
      <c r="H52" s="3">
        <v>1.5818000000000001</v>
      </c>
      <c r="I52" s="3">
        <v>1.6248</v>
      </c>
      <c r="J52" s="3">
        <v>1.4239999999999999</v>
      </c>
      <c r="K52" s="3">
        <v>1.913</v>
      </c>
      <c r="L52" s="3">
        <v>2.41</v>
      </c>
      <c r="M52" s="3">
        <v>2.73</v>
      </c>
    </row>
    <row r="53" spans="1:13" ht="15" customHeight="1" outlineLevel="2" x14ac:dyDescent="0.25">
      <c r="A53" s="6" t="s">
        <v>56</v>
      </c>
      <c r="B53" s="15">
        <v>9729.0100210000001</v>
      </c>
      <c r="C53" s="15">
        <v>9651.0099410000003</v>
      </c>
      <c r="D53" s="15">
        <v>9336.0096159999994</v>
      </c>
      <c r="E53" s="15">
        <v>9030.0093010000001</v>
      </c>
      <c r="F53" s="15">
        <v>8835.0090999999993</v>
      </c>
      <c r="G53" s="15">
        <v>8604.0088620000006</v>
      </c>
      <c r="H53" s="15">
        <v>8541.0087970000004</v>
      </c>
      <c r="I53" s="15">
        <v>8415.0086670000001</v>
      </c>
      <c r="J53" s="15">
        <v>8202.0084480000005</v>
      </c>
      <c r="K53" s="15">
        <v>8108.0083510000004</v>
      </c>
      <c r="L53" s="5">
        <v>8081</v>
      </c>
      <c r="M53" s="5">
        <v>8022</v>
      </c>
    </row>
    <row r="54" spans="1:13" ht="15" customHeight="1" outlineLevel="2" x14ac:dyDescent="0.25">
      <c r="A54" s="7" t="s">
        <v>54</v>
      </c>
      <c r="B54" s="8">
        <v>9684.0099750000008</v>
      </c>
      <c r="C54" s="8">
        <v>9486.0097709999991</v>
      </c>
      <c r="D54" s="8">
        <v>9144.0094179999996</v>
      </c>
      <c r="E54" s="8">
        <v>8856.0091219999995</v>
      </c>
      <c r="F54" s="8">
        <v>8634.0088930000002</v>
      </c>
      <c r="G54" s="8">
        <v>8497.4873950000001</v>
      </c>
      <c r="H54" s="8">
        <v>8463.0087170000006</v>
      </c>
      <c r="I54" s="8">
        <v>8283.0085309999995</v>
      </c>
      <c r="J54" s="8">
        <v>8079.0083210000003</v>
      </c>
      <c r="K54" s="8">
        <v>8054.008296</v>
      </c>
      <c r="L54" s="14">
        <v>8040.5</v>
      </c>
      <c r="M54" s="14">
        <v>8080.51</v>
      </c>
    </row>
    <row r="55" spans="1:13" ht="15" customHeight="1" outlineLevel="1" x14ac:dyDescent="0.25">
      <c r="A55" s="21" t="s">
        <v>57</v>
      </c>
      <c r="B55" s="15">
        <v>92.66</v>
      </c>
      <c r="C55" s="15">
        <v>94.603999999999999</v>
      </c>
      <c r="D55" s="15">
        <v>90.337999999999994</v>
      </c>
      <c r="E55" s="15">
        <v>89.626000000000005</v>
      </c>
      <c r="F55" s="15">
        <v>88.924000000000007</v>
      </c>
      <c r="G55" s="15">
        <v>87.992999999999995</v>
      </c>
      <c r="H55" s="15">
        <v>85.897999999999996</v>
      </c>
      <c r="I55" s="15">
        <v>92.57</v>
      </c>
      <c r="J55" s="15">
        <v>96.197999999999993</v>
      </c>
      <c r="K55" s="15">
        <v>89.471999999999994</v>
      </c>
      <c r="L55" s="5"/>
      <c r="M55" s="5"/>
    </row>
    <row r="56" spans="1:13" ht="15" customHeight="1" outlineLevel="1" x14ac:dyDescent="0.25">
      <c r="A56" s="13" t="s">
        <v>58</v>
      </c>
      <c r="B56" s="3">
        <v>0.64</v>
      </c>
      <c r="C56" s="3">
        <v>0.65332999999999997</v>
      </c>
      <c r="D56" s="3">
        <v>0.66666999999999998</v>
      </c>
      <c r="E56" s="3">
        <v>0.68</v>
      </c>
      <c r="F56" s="3">
        <v>0.69333</v>
      </c>
      <c r="G56" s="3">
        <v>0.70667000000000002</v>
      </c>
      <c r="H56" s="3">
        <v>0.72</v>
      </c>
      <c r="I56" s="3">
        <v>0.73333000000000004</v>
      </c>
      <c r="J56" s="3">
        <v>0.74666999999999994</v>
      </c>
      <c r="K56" s="3">
        <v>0.76</v>
      </c>
      <c r="L56" s="3">
        <v>0.83</v>
      </c>
      <c r="M56" s="3">
        <v>0.94</v>
      </c>
    </row>
    <row r="57" spans="1:13" ht="15" customHeight="1" outlineLevel="2" x14ac:dyDescent="0.25">
      <c r="A57" s="6" t="s">
        <v>59</v>
      </c>
      <c r="B57" s="15">
        <v>38.020555000000002</v>
      </c>
      <c r="C57" s="15">
        <v>42.889122</v>
      </c>
      <c r="D57" s="15">
        <v>45.662329</v>
      </c>
      <c r="E57" s="15">
        <v>62.197018</v>
      </c>
      <c r="F57" s="15">
        <v>92.039028000000002</v>
      </c>
      <c r="G57" s="15">
        <v>40.859786</v>
      </c>
      <c r="H57" s="15">
        <v>45.517764999999997</v>
      </c>
      <c r="I57" s="15">
        <v>45.133555000000001</v>
      </c>
      <c r="J57" s="15">
        <v>52.434691000000001</v>
      </c>
      <c r="K57" s="15">
        <v>39.728175999999998</v>
      </c>
      <c r="L57" s="5"/>
      <c r="M57" s="5"/>
    </row>
    <row r="58" spans="1:13" ht="15" customHeight="1" x14ac:dyDescent="0.25">
      <c r="A58" s="2" t="s">
        <v>60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</row>
    <row r="59" spans="1:13" ht="15" customHeight="1" outlineLevel="1" x14ac:dyDescent="0.25">
      <c r="A59" s="4" t="s">
        <v>60</v>
      </c>
      <c r="B59" s="5">
        <v>36.32</v>
      </c>
      <c r="C59" s="5">
        <v>33.558999999999997</v>
      </c>
      <c r="D59" s="5">
        <v>32.115000000000002</v>
      </c>
      <c r="E59" s="5">
        <v>31.731999999999999</v>
      </c>
      <c r="F59" s="5">
        <v>32.634999999999998</v>
      </c>
      <c r="G59" s="5">
        <v>32.454999999999998</v>
      </c>
      <c r="H59" s="5">
        <v>38.1</v>
      </c>
      <c r="I59" s="5">
        <v>39.1</v>
      </c>
      <c r="J59" s="5">
        <v>35.472999999999999</v>
      </c>
      <c r="K59" s="5">
        <v>38.865000000000002</v>
      </c>
      <c r="L59" s="5">
        <v>42.32</v>
      </c>
      <c r="M59" s="5">
        <v>44.03</v>
      </c>
    </row>
    <row r="60" spans="1:13" ht="15" customHeight="1" outlineLevel="2" x14ac:dyDescent="0.25">
      <c r="A60" s="7" t="s">
        <v>61</v>
      </c>
      <c r="B60" s="8">
        <v>27.146999999999998</v>
      </c>
      <c r="C60" s="8">
        <v>24.105</v>
      </c>
      <c r="D60" s="8">
        <v>22.035</v>
      </c>
      <c r="E60" s="8">
        <v>21.202999999999999</v>
      </c>
      <c r="F60" s="8">
        <v>21.957000000000001</v>
      </c>
      <c r="G60" s="8">
        <v>21.468</v>
      </c>
      <c r="H60" s="8">
        <v>26.948</v>
      </c>
      <c r="I60" s="8">
        <v>28.442</v>
      </c>
      <c r="J60" s="8">
        <v>24.527999999999999</v>
      </c>
      <c r="K60" s="8">
        <v>27.012</v>
      </c>
      <c r="L60" s="3">
        <v>29.35</v>
      </c>
      <c r="M60" s="3">
        <v>29.83</v>
      </c>
    </row>
    <row r="61" spans="1:13" ht="15" customHeight="1" outlineLevel="2" x14ac:dyDescent="0.25">
      <c r="A61" s="6" t="s">
        <v>16</v>
      </c>
      <c r="B61" s="15">
        <v>9.173</v>
      </c>
      <c r="C61" s="15">
        <v>9.4540000000000006</v>
      </c>
      <c r="D61" s="15">
        <v>10.08</v>
      </c>
      <c r="E61" s="15">
        <v>10.529</v>
      </c>
      <c r="F61" s="15">
        <v>10.678000000000001</v>
      </c>
      <c r="G61" s="15">
        <v>10.987</v>
      </c>
      <c r="H61" s="15">
        <v>11.151999999999999</v>
      </c>
      <c r="I61" s="15">
        <v>10.657999999999999</v>
      </c>
      <c r="J61" s="15">
        <v>10.945</v>
      </c>
      <c r="K61" s="15">
        <v>11.853</v>
      </c>
      <c r="L61" s="5">
        <v>12.97</v>
      </c>
      <c r="M61" s="5">
        <v>14.2</v>
      </c>
    </row>
    <row r="62" spans="1:13" ht="15" customHeight="1" x14ac:dyDescent="0.25">
      <c r="A62" s="2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DCF model</vt:lpstr>
      <vt:lpstr>WACC</vt:lpstr>
      <vt:lpstr>CFS</vt:lpstr>
      <vt:lpstr>IS</vt:lpstr>
      <vt:lpstr>'DCF model'!Print_Area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Moses Udofia</cp:lastModifiedBy>
  <cp:lastPrinted>2026-07-04T03:43:05Z</cp:lastPrinted>
  <dcterms:created xsi:type="dcterms:W3CDTF">2025-01-28T21:11:06Z</dcterms:created>
  <dcterms:modified xsi:type="dcterms:W3CDTF">2026-08-29T07:12:56Z</dcterms:modified>
  <cp:category/>
</cp:coreProperties>
</file>